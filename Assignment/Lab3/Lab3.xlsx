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TS001" sheetId="2" r:id="rId5"/>
    <sheet state="visible" name="TS002" sheetId="3" r:id="rId6"/>
    <sheet state="visible" name="TS003" sheetId="4" r:id="rId7"/>
    <sheet state="visible" name="TS004" sheetId="5" r:id="rId8"/>
    <sheet state="visible" name="TS005" sheetId="6" r:id="rId9"/>
    <sheet state="visible" name="TS006" sheetId="7" r:id="rId10"/>
    <sheet state="visible" name="TS007" sheetId="8" r:id="rId11"/>
    <sheet state="visible" name="TS008" sheetId="9" r:id="rId12"/>
    <sheet state="visible" name="TS009" sheetId="10" r:id="rId13"/>
    <sheet state="visible" name="TS010" sheetId="11" r:id="rId14"/>
    <sheet state="visible" name="Test Case Design &amp; Test Results" sheetId="12" r:id="rId15"/>
    <sheet state="visible" name="Defect Summary" sheetId="13" r:id="rId16"/>
  </sheets>
  <definedNames/>
  <calcPr/>
</workbook>
</file>

<file path=xl/sharedStrings.xml><?xml version="1.0" encoding="utf-8"?>
<sst xmlns="http://schemas.openxmlformats.org/spreadsheetml/2006/main" count="744" uniqueCount="228">
  <si>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</si>
  <si>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</si>
  <si>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</si>
  <si>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</si>
  <si>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</si>
  <si>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</si>
  <si>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</si>
  <si>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</si>
  <si>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</si>
  <si>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</si>
  <si>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</si>
  <si>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Single digit</t>
  </si>
  <si>
    <t>-</t>
  </si>
  <si>
    <t>UC002</t>
  </si>
  <si>
    <t>TS002</t>
  </si>
  <si>
    <t>Two digits – the first digit is smaller than the second digit</t>
  </si>
  <si>
    <t>UC003</t>
  </si>
  <si>
    <t>TS003</t>
  </si>
  <si>
    <t>Two digits – the first digit is larger than the second digit</t>
  </si>
  <si>
    <t>UC004</t>
  </si>
  <si>
    <t>TS004</t>
  </si>
  <si>
    <t>Two digits – same number</t>
  </si>
  <si>
    <t>DF001</t>
  </si>
  <si>
    <t>UC005</t>
  </si>
  <si>
    <t>TS005</t>
  </si>
  <si>
    <t>Multiple digits – same number</t>
  </si>
  <si>
    <t>DF002</t>
  </si>
  <si>
    <t>UC006</t>
  </si>
  <si>
    <t>TS006</t>
  </si>
  <si>
    <t>Multiple digits – first digit is larger than the rest</t>
  </si>
  <si>
    <t>DF003</t>
  </si>
  <si>
    <t>UC007</t>
  </si>
  <si>
    <t>TS007</t>
  </si>
  <si>
    <t>Multiple digits – first digit is largest number and the rest is the combination of (2), (3), (4)</t>
  </si>
  <si>
    <t>DF004</t>
  </si>
  <si>
    <t>UC008</t>
  </si>
  <si>
    <t>TS008</t>
  </si>
  <si>
    <t>Not a roman numeral number</t>
  </si>
  <si>
    <t>UC009</t>
  </si>
  <si>
    <t>TS009</t>
  </si>
  <si>
    <t>Using wrong repeating digits</t>
  </si>
  <si>
    <t>UC010</t>
  </si>
  <si>
    <t>TS010</t>
  </si>
  <si>
    <t>Using more than three repeating roman numerals</t>
  </si>
  <si>
    <t>Total</t>
  </si>
  <si>
    <t>Test Scenario ID:</t>
  </si>
  <si>
    <t>UAT-Lab3-TS001</t>
  </si>
  <si>
    <t>Project ID:</t>
  </si>
  <si>
    <t>Roman Newmerals</t>
  </si>
  <si>
    <t>Test Scenario Name:</t>
  </si>
  <si>
    <t>Project version:</t>
  </si>
  <si>
    <t>Designer:</t>
  </si>
  <si>
    <t>663380246-1 อริย์เมตา ฤทธิเดช sec.1</t>
  </si>
  <si>
    <t>Test Version:</t>
  </si>
  <si>
    <t>V1.0</t>
  </si>
  <si>
    <t>Module:</t>
  </si>
  <si>
    <t>Date:</t>
  </si>
  <si>
    <t>Pre-requisite:</t>
  </si>
  <si>
    <t>ข้อมูล Input</t>
  </si>
  <si>
    <t xml:space="preserve">Description: </t>
  </si>
  <si>
    <t>ตรวจสอบผลลัพธ์ของการเปลงเลขโรมันไปเป็นเลขจำนวนเต็ม โดยการป้อนเลขโรมัน 1 หลัก</t>
  </si>
  <si>
    <t>Main flow</t>
  </si>
  <si>
    <t>Step No.</t>
  </si>
  <si>
    <t>Description</t>
  </si>
  <si>
    <t>Input</t>
  </si>
  <si>
    <t>Expected Results</t>
  </si>
  <si>
    <t>Actual Results</t>
  </si>
  <si>
    <t>Status 
(Pass/Fail/No run)</t>
  </si>
  <si>
    <t>Remark/Defect ID</t>
  </si>
  <si>
    <t>แปลงเลขโรมันหลักเดียว "I"</t>
  </si>
  <si>
    <t>I</t>
  </si>
  <si>
    <t>แปลงเลขโรมันหลักเดียว "V"</t>
  </si>
  <si>
    <t>V</t>
  </si>
  <si>
    <t>แปลงเลขโรมันหลักเดียว "L"</t>
  </si>
  <si>
    <t>L</t>
  </si>
  <si>
    <t>แปลงเลขโรมันหลักเดียว "D"</t>
  </si>
  <si>
    <t>D</t>
  </si>
  <si>
    <t>แปลงเลขโรมันหลักเดียว "M"</t>
  </si>
  <si>
    <t>M</t>
  </si>
  <si>
    <t>Alternate flows:</t>
  </si>
  <si>
    <t>UAT-Lab3-TS002</t>
  </si>
  <si>
    <t>ตรวจสอบผลลัพธ์ของการเปลงเลขโรมันไปเป็นเลขจำนวนเต็ม โดยการป้อนเลขโรมัน 2 หลัก ตัวแรกจะมีค่าน้อยกว่าตัวที่สอง</t>
  </si>
  <si>
    <t>แปลงเลขโรมันสองหลัก "IV"</t>
  </si>
  <si>
    <t>IV</t>
  </si>
  <si>
    <t>แปลงเลขโรมันสองหลัก "IX"</t>
  </si>
  <si>
    <t>IX</t>
  </si>
  <si>
    <t>แปลงเลขโรมันสองหลัก "XL"</t>
  </si>
  <si>
    <t>XL</t>
  </si>
  <si>
    <t>แปลงเลขโรมันสองหลัก "LD"</t>
  </si>
  <si>
    <t>LD</t>
  </si>
  <si>
    <t>แปลงเลขโรมันสองหลัก "CM"</t>
  </si>
  <si>
    <t>CM</t>
  </si>
  <si>
    <t>UAT-Lab3-TS003</t>
  </si>
  <si>
    <t>ตรวจสอบผลลัพธ์ของการเปลงเลขโรมันไปเป็นเลขจำนวนเต็ม โดยการป้อนเลขโรมัน 2 หลัก ตัวแรกจะมีค่ามากกว่าตัวที่สอง</t>
  </si>
  <si>
    <t>แปลงเลขโรมันสองหลัก "VI"</t>
  </si>
  <si>
    <t>VI</t>
  </si>
  <si>
    <t>แปลงเลขโรมันสองหลัก "XV"</t>
  </si>
  <si>
    <t>XV</t>
  </si>
  <si>
    <t>แปลงเลขโรมันสองหลัก "CL"</t>
  </si>
  <si>
    <t>CL</t>
  </si>
  <si>
    <t>แปลงเลขโรมันสองหลัก "DC"</t>
  </si>
  <si>
    <t>DC</t>
  </si>
  <si>
    <t>แปลงเลขโรมันสองหลัก "MD"</t>
  </si>
  <si>
    <t>MD</t>
  </si>
  <si>
    <t>UAT-Lab3-TS004</t>
  </si>
  <si>
    <t>ตรวจสอบผลลัพธ์ของการเปลงเลขโรมันไปเป็นเลขจำนวนเต็ม โดยการป้อนเลขโรมัน 2 หลักที่ซ้ำกัน</t>
  </si>
  <si>
    <t>แปลงเลขโรมันสองหลัก "II"</t>
  </si>
  <si>
    <t>II</t>
  </si>
  <si>
    <t>แปลงเลขโรมันสองหลัก "XX"</t>
  </si>
  <si>
    <t>XX</t>
  </si>
  <si>
    <t>แปลงเลขโรมันสองหลัก "CC"</t>
  </si>
  <si>
    <t>CC</t>
  </si>
  <si>
    <t>แปลงเลขโรมันสองหลัก "MM"</t>
  </si>
  <si>
    <t>MM</t>
  </si>
  <si>
    <t>UAT-Lab3-TS005</t>
  </si>
  <si>
    <t>ตรวจสอบผลลัพธ์ของการเปลงเลขโรมันไปเป็นเลขจำนวนเต็ม โดยการป้อนเลขโรมันหลายหลักที่เป็นตัวซ้ำกัน</t>
  </si>
  <si>
    <t>แปลงเลขโรมันหลายหลักที่ซ้ำกัน "III"</t>
  </si>
  <si>
    <t>III</t>
  </si>
  <si>
    <t>แปลงเลขโรมันหลายหลักที่ซ้ำกัน "XXX"</t>
  </si>
  <si>
    <t>XXX</t>
  </si>
  <si>
    <t>แปลงเลขโรมันหลายหลักที่ซ้ำกัน "CCC"</t>
  </si>
  <si>
    <t>CCC</t>
  </si>
  <si>
    <t>แปลงเลขโรมันหลายหลักที่ซ้ำกัน "MMM"</t>
  </si>
  <si>
    <t>MMM</t>
  </si>
  <si>
    <t>UAT-Lab3-TS006</t>
  </si>
  <si>
    <t>ตรวจสอบผลลัพธ์ของการเปลงเลขโรมันไปเป็นเลขจำนวนเต็ม โดยการป้อนเลขโรมันหลายหลักที่ตัวแรกมีค่ามากกว่าตัวที่เหลือ</t>
  </si>
  <si>
    <t>แปลงเลขโรมันหลายหลัก "VIII"</t>
  </si>
  <si>
    <t>VIII</t>
  </si>
  <si>
    <t>แปลงเลขโรมันหลายหลัก "XXIV"</t>
  </si>
  <si>
    <t>XXIV</t>
  </si>
  <si>
    <t>แปลงเลขโรมันหลายหลัก "LXVII"</t>
  </si>
  <si>
    <t>LXVII</t>
  </si>
  <si>
    <t>แปลงเลขโรมันหลายหลัก "DCCLXX"</t>
  </si>
  <si>
    <t>DCCLXX</t>
  </si>
  <si>
    <t>แปลงเลขโรมันหลายหลัก "MCDXI"</t>
  </si>
  <si>
    <t>MCDXI</t>
  </si>
  <si>
    <t>UAT-Lab3-TS007</t>
  </si>
  <si>
    <t>ตรวจสอบผลลัพธ์ของการเปลงเลขโรมันไปเป็นเลขจำนวนเต็ม โดยการป้อนเลขโรมันหลายหลักที่ตัวแรกสุดมีค่ามากที่สุดและตัวถัดๆไปเป็นไปตามรูปแบบเฉพาะ</t>
  </si>
  <si>
    <t>แปลงเลขโรมันหลายหลัก "LXXIV"</t>
  </si>
  <si>
    <t>LXXIV</t>
  </si>
  <si>
    <t>แปลงเลขโรมันหลายหลัก "CXXIV"</t>
  </si>
  <si>
    <t>CXXIV</t>
  </si>
  <si>
    <t>แปลงเลขโรมันหลายหลัก "DCCIX"</t>
  </si>
  <si>
    <t>DCCIX</t>
  </si>
  <si>
    <t>แปลงเลขโรมันหลายหลัก "MLDXX"</t>
  </si>
  <si>
    <t>MLDXX</t>
  </si>
  <si>
    <t>UAT-Lab3-TS008</t>
  </si>
  <si>
    <t>ตรวจสอบผลลัพธ์ของการเปลงเลขโรมันไปเป็นเลขจำนวนเต็ม โดยการป้อนสิ่งที่ไม่ใช่เลขโรมัน</t>
  </si>
  <si>
    <t>ป้อนอักษรที่ไม่ใช่เลขโรมัน "A"</t>
  </si>
  <si>
    <t>A</t>
  </si>
  <si>
    <t>NullPointerException</t>
  </si>
  <si>
    <t>ป้อนอักษรที่ไม่ใช่เลขโรมัน "0"</t>
  </si>
  <si>
    <t>ป้อนอักษรที่ไม่ใช่เลขโรมัน "-"</t>
  </si>
  <si>
    <t>ป้อนอักษรที่ไม่ใช่เลขโรมัน "ก"</t>
  </si>
  <si>
    <t>ก</t>
  </si>
  <si>
    <t>ป้อนอักษรที่ไม่ใช่เลขโรมัน "JJ"</t>
  </si>
  <si>
    <t>JJ</t>
  </si>
  <si>
    <t>UAT-Lab3-TS009</t>
  </si>
  <si>
    <t>ตรวจสอบผลลัพธ์ของการเปลงเลขโรมันไปเป็นเลขจำนวนเต็ม โดยการป้อนเลขโรมันที่ใช้ตัวซ้ำกันอย่างไม่ถูกต้อง</t>
  </si>
  <si>
    <t>แปลงเลขโรมันที่ใช้ตัวซ้ำกัน "VV"</t>
  </si>
  <si>
    <t>VV</t>
  </si>
  <si>
    <t>ไม่เท่ากับ 10</t>
  </si>
  <si>
    <t>แปลงเลขโรมันที่ใช้ตัวซ้ำกัน "LL"</t>
  </si>
  <si>
    <t>LL</t>
  </si>
  <si>
    <t>ไม่เท่ากับ 100</t>
  </si>
  <si>
    <t>แปลงเลขโรมันที่ใช้ตัวซ้ำกัน "DD"</t>
  </si>
  <si>
    <t>DD</t>
  </si>
  <si>
    <t>ไม่เท่ากับ 1000</t>
  </si>
  <si>
    <t>UAT-Lab3-TS010</t>
  </si>
  <si>
    <t>ตรวจสอบผลลัพธ์ของการเปลงเลขโรมันไปเป็นเลขจำนวนเต็ม โดยการป้อนเลขโรมันซ้ำเดิมมากว่า 3 ตัว</t>
  </si>
  <si>
    <t>แปลงเลขโรมันมากกว่าสามหลักและเป็นตัวซ้ำเดิม "IIII"</t>
  </si>
  <si>
    <t>IIII</t>
  </si>
  <si>
    <t>ไม่เท่ากับ 4</t>
  </si>
  <si>
    <t>แปลงเลขโรมันมากกว่าสามหลักและเป็นตัวซ้ำเดิม "VVVV"</t>
  </si>
  <si>
    <t>VVVV</t>
  </si>
  <si>
    <t>ไม่เท่ากับ 20</t>
  </si>
  <si>
    <t>แปลงเลขโรมันมากกว่าสามหลักและเป็นตัวซ้ำเดิม "LLLL"</t>
  </si>
  <si>
    <t>LLLL</t>
  </si>
  <si>
    <t>ไม่เท่ากับ 200</t>
  </si>
  <si>
    <t>แปลงเลขโรมันมากกว่าสามหลักและเป็นตัวซ้ำเดิม "DDDD"</t>
  </si>
  <si>
    <t>DDDD</t>
  </si>
  <si>
    <t>ไม่เท่ากับ 16</t>
  </si>
  <si>
    <t>แปลงเลขโรมันมากกว่าสามหลักและเป็นตัวซ้ำเดิม "MMMM"</t>
  </si>
  <si>
    <t>MMMM</t>
  </si>
  <si>
    <t>ไม่เท่ากับ 17</t>
  </si>
  <si>
    <t>Test Case Design and Test Results</t>
  </si>
  <si>
    <t xml:space="preserve">Project Name: </t>
  </si>
  <si>
    <t>Writing your first JUnit test and basic git commands</t>
  </si>
  <si>
    <t xml:space="preserve">Project ID: </t>
  </si>
  <si>
    <t xml:space="preserve">Test Strategy: </t>
  </si>
  <si>
    <t xml:space="preserve">Designer: </t>
  </si>
  <si>
    <t xml:space="preserve">Test Environtment: </t>
  </si>
  <si>
    <t>Test Case ID</t>
  </si>
  <si>
    <t>Expected Result</t>
  </si>
  <si>
    <t>Actual Result</t>
  </si>
  <si>
    <t>Status (Pass/Fail/No run)</t>
  </si>
  <si>
    <t>TC01</t>
  </si>
  <si>
    <t>TC02</t>
  </si>
  <si>
    <t>TC03</t>
  </si>
  <si>
    <t>TC04</t>
  </si>
  <si>
    <t>TC05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</si>
  <si>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</si>
  <si>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</si>
  <si>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</si>
  <si>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</si>
  <si>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</si>
  <si>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</si>
  <si>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</si>
  <si>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</si>
  <si>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</si>
  <si>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</si>
  <si>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</si>
  <si>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การแปลงโรมันสองหลักที่เป็นอักษรเดียวกันผิดพลาด</t>
  </si>
  <si>
    <t>13/07/2025</t>
  </si>
  <si>
    <t>663380246-1 อริย์เมตา ฤทธิเดช</t>
  </si>
  <si>
    <t>open</t>
  </si>
  <si>
    <t>รุนแรง</t>
  </si>
  <si>
    <t>สูง</t>
  </si>
  <si>
    <t>ฟังก์ชันไม่สามารถแปลงเลขโรมันสองหลักได้อย่างถูกต้องในทุกเคส จากผลลัพธ์จะเห็นได้ว่าตัวเลขที่มีค่าเท่ากันจะถูกนำมาลบกันแทนการบวกกัน เช่น input = II expected result = 2 แต่ actual result = 0</t>
  </si>
  <si>
    <t>การแปลงโรมันสามหลักที่เป็นอักษรเดียวกันผิดพลาด</t>
  </si>
  <si>
    <t>13/07/2026</t>
  </si>
  <si>
    <t>ฟังก์ชันไม่สามารถแปลงเลขโรมันสามหลักได้อย่างถูกต้อง จากผลลัพธ์จะเห็นได้ว่าเลขโรมันฝั่งขวาสุดจะถูกลบด้วยตัวที่เหลือที่อยู่ด้านหน้าแทนการนำมาบวกกัน ทำให้ได้ผลลัพธ์ติดลบ ซึ่งไม่ถูกต้อง เช่น input = III expected result = 3 แต่ actual result = -1</t>
  </si>
  <si>
    <t>การแปลงเลขโรมันหลายหลักโดยที่ตัวเลขโรมันหลักแรกมีค่ามากที่สุดผิดพลาด</t>
  </si>
  <si>
    <t>13/07/2027</t>
  </si>
  <si>
    <t>ฟังก์ชันไม่สามารถแปลงเลขโรมันหลายหลักโดยที่หลักข้างหน้ามีค่ามากสุดได้อย่างถูกต้อง เช่น VIII, XXIV  จากผลลัพธ์ค่าที่ได้ออกมานั้นจะมีค่าน้อยกว่าค่าที่ควรจะได้ไปมาก</t>
  </si>
  <si>
    <t>การแปลงเลขโรมันหลายหลักโดยตัวแรกมีค่ามากสุด ตัวที่เหลือมีการรวมกลุ่มเฉพาะรูปแบบผิดพลาด</t>
  </si>
  <si>
    <t>13/07/2028</t>
  </si>
  <si>
    <t>ฟังก์ชันไม่สามารถแปลงเลขโรมันหลายหลักโดยที่หลักข้างหน้ามีค่ามากสุดและตัวที่เหลือมีการรวมกลุ่มเฉพาะรูปแบบได้อย่างถูกต้อง เช่น LXXIV, CXXIV  จากผลลัพธ์ค่าที่ได้ออกมานั้นจะมีค่าน้อยกว่าค่าที่ควรจะได้ไปมาก โดยไม่ผ่านการทดสอบในทุกกรณี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</si>
</sst>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1.0"/>
      <color theme="1"/>
      <name val="Calibri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sz val="18.0"/>
      <color rgb="FF0563C1"/>
      <name val="TH Sarabun PSK"/>
    </font>
    <font>
      <u/>
      <sz val="18.0"/>
      <color rgb="FF0000FF"/>
      <name val="TH Sarabun PSK"/>
    </font>
    <font/>
    <font>
      <u/>
      <sz val="18.0"/>
      <color theme="10"/>
      <name val="TH Sarabun PSK"/>
    </font>
    <font>
      <sz val="16.0"/>
      <color theme="1"/>
      <name val="TH Sarabun PSK"/>
    </font>
    <font>
      <sz val="11.0"/>
      <color theme="1"/>
      <name val="TH Sarabun PSK"/>
    </font>
    <font>
      <b/>
      <sz val="16.0"/>
      <color theme="1"/>
      <name val="TH Sarabun PSK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2" fillId="3" fontId="2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4" fontId="1" numFmtId="0" xfId="0" applyBorder="1" applyFill="1" applyFont="1"/>
    <xf borderId="1" fillId="5" fontId="1" numFmtId="0" xfId="0" applyBorder="1" applyFill="1" applyFont="1"/>
    <xf borderId="1" fillId="0" fontId="6" numFmtId="0" xfId="0" applyAlignment="1" applyBorder="1" applyFont="1">
      <alignment horizontal="center"/>
    </xf>
    <xf borderId="1" fillId="0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vertical="bottom"/>
    </xf>
    <xf borderId="0" fillId="0" fontId="7" numFmtId="0" xfId="0" applyFont="1"/>
    <xf borderId="0" fillId="0" fontId="8" numFmtId="0" xfId="0" applyFont="1"/>
    <xf borderId="2" fillId="2" fontId="9" numFmtId="0" xfId="0" applyAlignment="1" applyBorder="1" applyFont="1">
      <alignment horizontal="center"/>
    </xf>
    <xf borderId="1" fillId="0" fontId="9" numFmtId="0" xfId="0" applyAlignment="1" applyBorder="1" applyFont="1">
      <alignment horizontal="right"/>
    </xf>
    <xf borderId="2" fillId="0" fontId="7" numFmtId="0" xfId="0" applyAlignment="1" applyBorder="1" applyFont="1">
      <alignment horizontal="center" readingOrder="0"/>
    </xf>
    <xf borderId="2" fillId="0" fontId="1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center"/>
    </xf>
    <xf borderId="1" fillId="0" fontId="9" numFmtId="0" xfId="0" applyBorder="1" applyFont="1"/>
    <xf borderId="2" fillId="0" fontId="9" numFmtId="0" xfId="0" applyAlignment="1" applyBorder="1" applyFont="1">
      <alignment horizontal="center"/>
    </xf>
    <xf borderId="1" fillId="2" fontId="9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borderId="1" fillId="0" fontId="7" numFmtId="0" xfId="0" applyBorder="1" applyFont="1"/>
    <xf borderId="1" fillId="0" fontId="7" numFmtId="0" xfId="0" applyAlignment="1" applyBorder="1" applyFont="1">
      <alignment readingOrder="0"/>
    </xf>
    <xf borderId="6" fillId="0" fontId="5" numFmtId="0" xfId="0" applyBorder="1" applyFont="1"/>
    <xf borderId="7" fillId="0" fontId="5" numFmtId="0" xfId="0" applyBorder="1" applyFont="1"/>
    <xf borderId="5" fillId="0" fontId="7" numFmtId="0" xfId="0" applyAlignment="1" applyBorder="1" applyFont="1">
      <alignment horizontal="center" readingOrder="0" vertical="center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23.0"/>
    <col customWidth="1" min="3" max="3" width="32.14"/>
    <col customWidth="1" min="4" max="4" width="17.14"/>
    <col customWidth="1" min="5" max="8" width="9.14"/>
    <col customWidth="1" min="9" max="9" width="21.86"/>
    <col customWidth="1" min="10" max="26" width="9.14"/>
  </cols>
  <sheetData>
    <row r="1" ht="27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1.0" customHeight="1">
      <c r="A2" s="3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7" t="s">
        <v>9</v>
      </c>
      <c r="B3" s="7" t="s">
        <v>10</v>
      </c>
      <c r="C3" s="8" t="s">
        <v>11</v>
      </c>
      <c r="D3" s="9">
        <v>5.0</v>
      </c>
      <c r="E3" s="9">
        <v>5.0</v>
      </c>
      <c r="F3" s="9">
        <v>0.0</v>
      </c>
      <c r="G3" s="9">
        <v>0.0</v>
      </c>
      <c r="H3" s="9">
        <v>0.0</v>
      </c>
      <c r="I3" s="10" t="s">
        <v>12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9" t="s">
        <v>13</v>
      </c>
      <c r="B4" s="9" t="s">
        <v>14</v>
      </c>
      <c r="C4" s="8" t="s">
        <v>15</v>
      </c>
      <c r="D4" s="9">
        <v>5.0</v>
      </c>
      <c r="E4" s="9">
        <v>5.0</v>
      </c>
      <c r="F4" s="9">
        <v>0.0</v>
      </c>
      <c r="G4" s="9">
        <v>0.0</v>
      </c>
      <c r="H4" s="9">
        <v>0.0</v>
      </c>
      <c r="I4" s="9" t="s">
        <v>12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7" t="s">
        <v>16</v>
      </c>
      <c r="B5" s="7" t="s">
        <v>17</v>
      </c>
      <c r="C5" s="8" t="s">
        <v>18</v>
      </c>
      <c r="D5" s="9">
        <v>5.0</v>
      </c>
      <c r="E5" s="9">
        <v>5.0</v>
      </c>
      <c r="F5" s="9">
        <v>0.0</v>
      </c>
      <c r="G5" s="9">
        <v>0.0</v>
      </c>
      <c r="H5" s="9">
        <v>0.0</v>
      </c>
      <c r="I5" s="9" t="s">
        <v>12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9" t="s">
        <v>19</v>
      </c>
      <c r="B6" s="9" t="s">
        <v>20</v>
      </c>
      <c r="C6" s="8" t="s">
        <v>21</v>
      </c>
      <c r="D6" s="9">
        <v>4.0</v>
      </c>
      <c r="E6" s="9">
        <v>0.0</v>
      </c>
      <c r="F6" s="9">
        <v>4.0</v>
      </c>
      <c r="G6" s="9">
        <v>0.0</v>
      </c>
      <c r="H6" s="9">
        <v>0.0</v>
      </c>
      <c r="I6" s="11" t="s">
        <v>22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7" t="s">
        <v>23</v>
      </c>
      <c r="B7" s="7" t="s">
        <v>24</v>
      </c>
      <c r="C7" s="8" t="s">
        <v>25</v>
      </c>
      <c r="D7" s="9">
        <v>4.0</v>
      </c>
      <c r="E7" s="9">
        <v>0.0</v>
      </c>
      <c r="F7" s="9">
        <v>4.0</v>
      </c>
      <c r="G7" s="9">
        <v>0.0</v>
      </c>
      <c r="H7" s="9">
        <v>0.0</v>
      </c>
      <c r="I7" s="11" t="s">
        <v>26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9" t="s">
        <v>27</v>
      </c>
      <c r="B8" s="7" t="s">
        <v>28</v>
      </c>
      <c r="C8" s="8" t="s">
        <v>29</v>
      </c>
      <c r="D8" s="9">
        <v>5.0</v>
      </c>
      <c r="E8" s="9">
        <v>0.0</v>
      </c>
      <c r="F8" s="9">
        <v>5.0</v>
      </c>
      <c r="G8" s="9">
        <v>0.0</v>
      </c>
      <c r="H8" s="9">
        <v>0.0</v>
      </c>
      <c r="I8" s="11" t="s">
        <v>30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7" t="s">
        <v>31</v>
      </c>
      <c r="B9" s="9" t="s">
        <v>32</v>
      </c>
      <c r="C9" s="8" t="s">
        <v>33</v>
      </c>
      <c r="D9" s="9">
        <v>5.0</v>
      </c>
      <c r="E9" s="9">
        <v>0.0</v>
      </c>
      <c r="F9" s="9">
        <v>5.0</v>
      </c>
      <c r="G9" s="9">
        <v>0.0</v>
      </c>
      <c r="H9" s="9">
        <v>0.0</v>
      </c>
      <c r="I9" s="11" t="s">
        <v>34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35</v>
      </c>
      <c r="B10" s="7" t="s">
        <v>36</v>
      </c>
      <c r="C10" s="8" t="s">
        <v>37</v>
      </c>
      <c r="D10" s="9">
        <v>4.0</v>
      </c>
      <c r="E10" s="9">
        <v>4.0</v>
      </c>
      <c r="F10" s="9">
        <v>0.0</v>
      </c>
      <c r="G10" s="9">
        <v>0.0</v>
      </c>
      <c r="H10" s="9">
        <v>0.0</v>
      </c>
      <c r="I10" s="9" t="s">
        <v>12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7" t="s">
        <v>38</v>
      </c>
      <c r="B11" s="9" t="s">
        <v>39</v>
      </c>
      <c r="C11" s="8" t="s">
        <v>40</v>
      </c>
      <c r="D11" s="9">
        <v>3.0</v>
      </c>
      <c r="E11" s="9">
        <v>3.0</v>
      </c>
      <c r="F11" s="9">
        <v>0.0</v>
      </c>
      <c r="G11" s="9">
        <v>0.0</v>
      </c>
      <c r="H11" s="9">
        <v>0.0</v>
      </c>
      <c r="I11" s="9" t="s">
        <v>12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41</v>
      </c>
      <c r="B12" s="7" t="s">
        <v>42</v>
      </c>
      <c r="C12" s="8" t="s">
        <v>43</v>
      </c>
      <c r="D12" s="9">
        <v>5.0</v>
      </c>
      <c r="E12" s="9">
        <v>5.0</v>
      </c>
      <c r="F12" s="9">
        <v>0.0</v>
      </c>
      <c r="G12" s="9">
        <v>0.0</v>
      </c>
      <c r="H12" s="9">
        <v>0.0</v>
      </c>
      <c r="I12" s="9" t="s">
        <v>12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2" t="s">
        <v>44</v>
      </c>
      <c r="B13" s="13"/>
      <c r="C13" s="14"/>
      <c r="D13" s="7">
        <f t="shared" ref="D13:F13" si="1">SUM(D3:D12)</f>
        <v>45</v>
      </c>
      <c r="E13" s="15">
        <f t="shared" si="1"/>
        <v>27</v>
      </c>
      <c r="F13" s="16">
        <f t="shared" si="1"/>
        <v>18</v>
      </c>
      <c r="G13" s="9">
        <v>0.0</v>
      </c>
      <c r="H13" s="9">
        <v>0.0</v>
      </c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27.0" customHeight="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27.0" customHeight="1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27.0" customHeight="1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27.0" customHeight="1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27.0" customHeight="1">
      <c r="A1005" s="1"/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1">
    <mergeCell ref="A13:C13"/>
  </mergeCells>
  <hyperlinks>
    <hyperlink display="DF001" location="'Defect Summary'!A3:K3" ref="I6"/>
    <hyperlink display="DF002" location="'Defect Summary'!A4:K4" ref="I7"/>
    <hyperlink display="DF003" location="'Defect Summary'!A5:K5" ref="I8"/>
    <hyperlink display="DF004" location="'Defect Summary'!A6:K6" ref="I9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35.0"/>
    <col customWidth="1" min="3" max="3" width="24.86"/>
    <col customWidth="1" min="4" max="4" width="35.14"/>
    <col customWidth="1" min="5" max="5" width="34.14"/>
    <col customWidth="1" min="6" max="6" width="25.0"/>
    <col customWidth="1" min="7" max="7" width="27.0"/>
    <col customWidth="1" min="8" max="26" width="10.71"/>
  </cols>
  <sheetData>
    <row r="1" ht="27.0" customHeight="1">
      <c r="A1" s="18" t="s">
        <v>45</v>
      </c>
      <c r="B1" s="19" t="s">
        <v>46</v>
      </c>
      <c r="C1" s="18" t="s">
        <v>47</v>
      </c>
      <c r="D1" s="19" t="s">
        <v>48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8" t="s">
        <v>49</v>
      </c>
      <c r="B2" s="20" t="s">
        <v>11</v>
      </c>
      <c r="C2" s="18" t="s">
        <v>50</v>
      </c>
      <c r="D2" s="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8" t="s">
        <v>51</v>
      </c>
      <c r="B3" s="20" t="s">
        <v>52</v>
      </c>
      <c r="C3" s="18" t="s">
        <v>53</v>
      </c>
      <c r="D3" s="19" t="s">
        <v>54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8" t="s">
        <v>55</v>
      </c>
      <c r="B4" s="19"/>
      <c r="C4" s="18" t="s">
        <v>56</v>
      </c>
      <c r="D4" s="21">
        <v>45846.0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8" t="s">
        <v>57</v>
      </c>
      <c r="B5" s="22" t="s">
        <v>58</v>
      </c>
      <c r="C5" s="13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8" t="s">
        <v>59</v>
      </c>
      <c r="B6" s="23" t="s">
        <v>60</v>
      </c>
      <c r="C6" s="13"/>
      <c r="D6" s="1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4" t="s">
        <v>61</v>
      </c>
      <c r="B7" s="13"/>
      <c r="C7" s="13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5" t="s">
        <v>62</v>
      </c>
      <c r="B8" s="25" t="s">
        <v>63</v>
      </c>
      <c r="C8" s="25" t="s">
        <v>64</v>
      </c>
      <c r="D8" s="25" t="s">
        <v>65</v>
      </c>
      <c r="E8" s="3" t="s">
        <v>66</v>
      </c>
      <c r="F8" s="3" t="s">
        <v>67</v>
      </c>
      <c r="G8" s="3" t="s">
        <v>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6">
        <v>1.0</v>
      </c>
      <c r="B9" s="27" t="s">
        <v>69</v>
      </c>
      <c r="C9" s="26" t="s">
        <v>70</v>
      </c>
      <c r="D9" s="26">
        <v>1.0</v>
      </c>
      <c r="E9" s="26">
        <v>1.0</v>
      </c>
      <c r="F9" s="26" t="s">
        <v>4</v>
      </c>
      <c r="G9" s="26" t="s">
        <v>12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6">
        <v>2.0</v>
      </c>
      <c r="B10" s="27" t="s">
        <v>71</v>
      </c>
      <c r="C10" s="26" t="s">
        <v>72</v>
      </c>
      <c r="D10" s="26">
        <v>5.0</v>
      </c>
      <c r="E10" s="26">
        <v>5.0</v>
      </c>
      <c r="F10" s="26" t="s">
        <v>4</v>
      </c>
      <c r="G10" s="26" t="s">
        <v>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6">
        <v>3.0</v>
      </c>
      <c r="B11" s="27" t="s">
        <v>73</v>
      </c>
      <c r="C11" s="26" t="s">
        <v>74</v>
      </c>
      <c r="D11" s="26">
        <v>50.0</v>
      </c>
      <c r="E11" s="26">
        <v>50.0</v>
      </c>
      <c r="F11" s="26" t="s">
        <v>4</v>
      </c>
      <c r="G11" s="26" t="s">
        <v>12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6">
        <v>4.0</v>
      </c>
      <c r="B12" s="27" t="s">
        <v>75</v>
      </c>
      <c r="C12" s="26" t="s">
        <v>76</v>
      </c>
      <c r="D12" s="26">
        <v>500.0</v>
      </c>
      <c r="E12" s="26">
        <v>500.0</v>
      </c>
      <c r="F12" s="26" t="s">
        <v>4</v>
      </c>
      <c r="G12" s="26" t="s">
        <v>12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26">
        <v>5.0</v>
      </c>
      <c r="B13" s="27" t="s">
        <v>77</v>
      </c>
      <c r="C13" s="26" t="s">
        <v>78</v>
      </c>
      <c r="D13" s="26">
        <v>1000.0</v>
      </c>
      <c r="E13" s="26">
        <v>1000.0</v>
      </c>
      <c r="F13" s="26" t="s">
        <v>4</v>
      </c>
      <c r="G13" s="26" t="s">
        <v>12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28" t="s">
        <v>79</v>
      </c>
      <c r="B14" s="29"/>
      <c r="C14" s="13"/>
      <c r="D14" s="1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30"/>
      <c r="B15" s="30"/>
      <c r="C15" s="30"/>
      <c r="D15" s="30"/>
      <c r="E15" s="30"/>
      <c r="F15" s="30"/>
      <c r="G15" s="3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30"/>
      <c r="B16" s="30"/>
      <c r="C16" s="30"/>
      <c r="D16" s="30"/>
      <c r="E16" s="30"/>
      <c r="F16" s="30"/>
      <c r="G16" s="3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30"/>
      <c r="B17" s="30"/>
      <c r="C17" s="30"/>
      <c r="D17" s="30"/>
      <c r="E17" s="30"/>
      <c r="F17" s="30"/>
      <c r="G17" s="3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28" t="s">
        <v>79</v>
      </c>
      <c r="B18" s="29"/>
      <c r="C18" s="13"/>
      <c r="D18" s="1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18:D18"/>
    <mergeCell ref="B5:D5"/>
    <mergeCell ref="B6:D6"/>
    <mergeCell ref="A7:D7"/>
    <mergeCell ref="B14:D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35.0"/>
    <col customWidth="1" min="3" max="3" width="24.86"/>
    <col customWidth="1" min="4" max="4" width="35.14"/>
    <col customWidth="1" min="5" max="5" width="34.14"/>
    <col customWidth="1" min="6" max="6" width="25.0"/>
    <col customWidth="1" min="7" max="7" width="27.0"/>
    <col customWidth="1" min="8" max="26" width="10.71"/>
  </cols>
  <sheetData>
    <row r="1" ht="27.0" customHeight="1">
      <c r="A1" s="18" t="s">
        <v>45</v>
      </c>
      <c r="B1" s="20" t="s">
        <v>80</v>
      </c>
      <c r="C1" s="18" t="s">
        <v>47</v>
      </c>
      <c r="D1" s="19" t="s">
        <v>48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8" t="s">
        <v>49</v>
      </c>
      <c r="B2" s="20" t="s">
        <v>15</v>
      </c>
      <c r="C2" s="18" t="s">
        <v>50</v>
      </c>
      <c r="D2" s="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8" t="s">
        <v>51</v>
      </c>
      <c r="B3" s="20" t="s">
        <v>52</v>
      </c>
      <c r="C3" s="18" t="s">
        <v>53</v>
      </c>
      <c r="D3" s="19" t="s">
        <v>54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8" t="s">
        <v>55</v>
      </c>
      <c r="B4" s="19"/>
      <c r="C4" s="18" t="s">
        <v>56</v>
      </c>
      <c r="D4" s="21">
        <v>45851.0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8" t="s">
        <v>57</v>
      </c>
      <c r="B5" s="22" t="s">
        <v>58</v>
      </c>
      <c r="C5" s="13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8" t="s">
        <v>59</v>
      </c>
      <c r="B6" s="23" t="s">
        <v>81</v>
      </c>
      <c r="C6" s="13"/>
      <c r="D6" s="1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4" t="s">
        <v>61</v>
      </c>
      <c r="B7" s="13"/>
      <c r="C7" s="13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5" t="s">
        <v>62</v>
      </c>
      <c r="B8" s="25" t="s">
        <v>63</v>
      </c>
      <c r="C8" s="25" t="s">
        <v>64</v>
      </c>
      <c r="D8" s="25" t="s">
        <v>65</v>
      </c>
      <c r="E8" s="3" t="s">
        <v>66</v>
      </c>
      <c r="F8" s="3" t="s">
        <v>67</v>
      </c>
      <c r="G8" s="3" t="s">
        <v>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6">
        <v>1.0</v>
      </c>
      <c r="B9" s="27" t="s">
        <v>82</v>
      </c>
      <c r="C9" s="26" t="s">
        <v>83</v>
      </c>
      <c r="D9" s="26">
        <v>4.0</v>
      </c>
      <c r="E9" s="26">
        <v>4.0</v>
      </c>
      <c r="F9" s="26" t="s">
        <v>4</v>
      </c>
      <c r="G9" s="26" t="s">
        <v>12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6">
        <v>2.0</v>
      </c>
      <c r="B10" s="27" t="s">
        <v>84</v>
      </c>
      <c r="C10" s="26" t="s">
        <v>85</v>
      </c>
      <c r="D10" s="26">
        <v>9.0</v>
      </c>
      <c r="E10" s="26">
        <v>9.0</v>
      </c>
      <c r="F10" s="26" t="s">
        <v>4</v>
      </c>
      <c r="G10" s="26" t="s">
        <v>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6">
        <v>3.0</v>
      </c>
      <c r="B11" s="27" t="s">
        <v>86</v>
      </c>
      <c r="C11" s="26" t="s">
        <v>87</v>
      </c>
      <c r="D11" s="26">
        <v>40.0</v>
      </c>
      <c r="E11" s="26">
        <v>40.0</v>
      </c>
      <c r="F11" s="26" t="s">
        <v>4</v>
      </c>
      <c r="G11" s="26" t="s">
        <v>12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6">
        <v>4.0</v>
      </c>
      <c r="B12" s="27" t="s">
        <v>88</v>
      </c>
      <c r="C12" s="26" t="s">
        <v>89</v>
      </c>
      <c r="D12" s="26">
        <v>450.0</v>
      </c>
      <c r="E12" s="26">
        <v>450.0</v>
      </c>
      <c r="F12" s="26" t="s">
        <v>4</v>
      </c>
      <c r="G12" s="26" t="s">
        <v>12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26">
        <v>5.0</v>
      </c>
      <c r="B13" s="27" t="s">
        <v>90</v>
      </c>
      <c r="C13" s="26" t="s">
        <v>91</v>
      </c>
      <c r="D13" s="26">
        <v>900.0</v>
      </c>
      <c r="E13" s="26">
        <v>900.0</v>
      </c>
      <c r="F13" s="26" t="s">
        <v>4</v>
      </c>
      <c r="G13" s="26" t="s">
        <v>12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28" t="s">
        <v>79</v>
      </c>
      <c r="B14" s="29"/>
      <c r="C14" s="13"/>
      <c r="D14" s="1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4">
    <mergeCell ref="B5:D5"/>
    <mergeCell ref="B6:D6"/>
    <mergeCell ref="A7:D7"/>
    <mergeCell ref="B14:D1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35.0"/>
    <col customWidth="1" min="3" max="3" width="24.86"/>
    <col customWidth="1" min="4" max="4" width="35.14"/>
    <col customWidth="1" min="5" max="5" width="34.14"/>
    <col customWidth="1" min="6" max="6" width="25.0"/>
    <col customWidth="1" min="7" max="7" width="27.0"/>
    <col customWidth="1" min="8" max="26" width="10.71"/>
  </cols>
  <sheetData>
    <row r="1" ht="27.0" customHeight="1">
      <c r="A1" s="18" t="s">
        <v>45</v>
      </c>
      <c r="B1" s="20" t="s">
        <v>92</v>
      </c>
      <c r="C1" s="18" t="s">
        <v>47</v>
      </c>
      <c r="D1" s="19" t="s">
        <v>48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8" t="s">
        <v>49</v>
      </c>
      <c r="B2" s="20" t="s">
        <v>18</v>
      </c>
      <c r="C2" s="18" t="s">
        <v>50</v>
      </c>
      <c r="D2" s="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8" t="s">
        <v>51</v>
      </c>
      <c r="B3" s="20" t="s">
        <v>52</v>
      </c>
      <c r="C3" s="18" t="s">
        <v>53</v>
      </c>
      <c r="D3" s="19" t="s">
        <v>54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8" t="s">
        <v>55</v>
      </c>
      <c r="B4" s="19"/>
      <c r="C4" s="18" t="s">
        <v>56</v>
      </c>
      <c r="D4" s="21">
        <v>45851.0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8" t="s">
        <v>57</v>
      </c>
      <c r="B5" s="22" t="s">
        <v>58</v>
      </c>
      <c r="C5" s="13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8" t="s">
        <v>59</v>
      </c>
      <c r="B6" s="23" t="s">
        <v>93</v>
      </c>
      <c r="C6" s="13"/>
      <c r="D6" s="1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4" t="s">
        <v>61</v>
      </c>
      <c r="B7" s="13"/>
      <c r="C7" s="13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5" t="s">
        <v>62</v>
      </c>
      <c r="B8" s="25" t="s">
        <v>63</v>
      </c>
      <c r="C8" s="25" t="s">
        <v>64</v>
      </c>
      <c r="D8" s="25" t="s">
        <v>65</v>
      </c>
      <c r="E8" s="3" t="s">
        <v>66</v>
      </c>
      <c r="F8" s="3" t="s">
        <v>67</v>
      </c>
      <c r="G8" s="3" t="s">
        <v>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6">
        <v>1.0</v>
      </c>
      <c r="B9" s="27" t="s">
        <v>94</v>
      </c>
      <c r="C9" s="27" t="s">
        <v>95</v>
      </c>
      <c r="D9" s="27">
        <v>6.0</v>
      </c>
      <c r="E9" s="27">
        <v>6.0</v>
      </c>
      <c r="F9" s="27" t="s">
        <v>4</v>
      </c>
      <c r="G9" s="26" t="s">
        <v>12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6">
        <v>2.0</v>
      </c>
      <c r="B10" s="27" t="s">
        <v>96</v>
      </c>
      <c r="C10" s="27" t="s">
        <v>97</v>
      </c>
      <c r="D10" s="27">
        <v>15.0</v>
      </c>
      <c r="E10" s="27">
        <v>15.0</v>
      </c>
      <c r="F10" s="27" t="s">
        <v>4</v>
      </c>
      <c r="G10" s="26" t="s">
        <v>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6">
        <v>3.0</v>
      </c>
      <c r="B11" s="27" t="s">
        <v>98</v>
      </c>
      <c r="C11" s="27" t="s">
        <v>99</v>
      </c>
      <c r="D11" s="27">
        <v>150.0</v>
      </c>
      <c r="E11" s="27">
        <v>150.0</v>
      </c>
      <c r="F11" s="27" t="s">
        <v>4</v>
      </c>
      <c r="G11" s="26" t="s">
        <v>12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6">
        <v>4.0</v>
      </c>
      <c r="B12" s="27" t="s">
        <v>100</v>
      </c>
      <c r="C12" s="27" t="s">
        <v>101</v>
      </c>
      <c r="D12" s="27">
        <v>600.0</v>
      </c>
      <c r="E12" s="27">
        <v>600.0</v>
      </c>
      <c r="F12" s="27" t="s">
        <v>4</v>
      </c>
      <c r="G12" s="26" t="s">
        <v>12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26">
        <v>5.0</v>
      </c>
      <c r="B13" s="27" t="s">
        <v>102</v>
      </c>
      <c r="C13" s="27" t="s">
        <v>103</v>
      </c>
      <c r="D13" s="27">
        <v>1500.0</v>
      </c>
      <c r="E13" s="27">
        <v>1500.0</v>
      </c>
      <c r="F13" s="27" t="s">
        <v>4</v>
      </c>
      <c r="G13" s="26" t="s">
        <v>12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28" t="s">
        <v>79</v>
      </c>
      <c r="B14" s="29"/>
      <c r="C14" s="13"/>
      <c r="D14" s="1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4">
    <mergeCell ref="B5:D5"/>
    <mergeCell ref="B6:D6"/>
    <mergeCell ref="A7:D7"/>
    <mergeCell ref="B14:D1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35.0"/>
    <col customWidth="1" min="3" max="3" width="24.86"/>
    <col customWidth="1" min="4" max="4" width="35.14"/>
    <col customWidth="1" min="5" max="5" width="34.14"/>
    <col customWidth="1" min="6" max="6" width="25.0"/>
    <col customWidth="1" min="7" max="7" width="27.0"/>
    <col customWidth="1" min="8" max="26" width="10.71"/>
  </cols>
  <sheetData>
    <row r="1" ht="27.0" customHeight="1">
      <c r="A1" s="18" t="s">
        <v>45</v>
      </c>
      <c r="B1" s="20" t="s">
        <v>104</v>
      </c>
      <c r="C1" s="18" t="s">
        <v>47</v>
      </c>
      <c r="D1" s="19" t="s">
        <v>48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8" t="s">
        <v>49</v>
      </c>
      <c r="B2" s="20" t="s">
        <v>21</v>
      </c>
      <c r="C2" s="18" t="s">
        <v>50</v>
      </c>
      <c r="D2" s="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8" t="s">
        <v>51</v>
      </c>
      <c r="B3" s="20" t="s">
        <v>52</v>
      </c>
      <c r="C3" s="18" t="s">
        <v>53</v>
      </c>
      <c r="D3" s="19" t="s">
        <v>54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8" t="s">
        <v>55</v>
      </c>
      <c r="B4" s="19"/>
      <c r="C4" s="18" t="s">
        <v>56</v>
      </c>
      <c r="D4" s="21">
        <v>45851.0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8" t="s">
        <v>57</v>
      </c>
      <c r="B5" s="22" t="s">
        <v>58</v>
      </c>
      <c r="C5" s="13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8" t="s">
        <v>59</v>
      </c>
      <c r="B6" s="23" t="s">
        <v>105</v>
      </c>
      <c r="C6" s="13"/>
      <c r="D6" s="1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4" t="s">
        <v>61</v>
      </c>
      <c r="B7" s="13"/>
      <c r="C7" s="13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5" t="s">
        <v>62</v>
      </c>
      <c r="B8" s="25" t="s">
        <v>63</v>
      </c>
      <c r="C8" s="25" t="s">
        <v>64</v>
      </c>
      <c r="D8" s="25" t="s">
        <v>65</v>
      </c>
      <c r="E8" s="3" t="s">
        <v>66</v>
      </c>
      <c r="F8" s="3" t="s">
        <v>67</v>
      </c>
      <c r="G8" s="3" t="s">
        <v>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6">
        <v>1.0</v>
      </c>
      <c r="B9" s="27" t="s">
        <v>106</v>
      </c>
      <c r="C9" s="27" t="s">
        <v>107</v>
      </c>
      <c r="D9" s="31">
        <v>2.0</v>
      </c>
      <c r="E9" s="31">
        <v>0.0</v>
      </c>
      <c r="F9" s="32" t="s">
        <v>5</v>
      </c>
      <c r="G9" s="11" t="s">
        <v>22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6">
        <v>2.0</v>
      </c>
      <c r="B10" s="27" t="s">
        <v>108</v>
      </c>
      <c r="C10" s="32" t="s">
        <v>109</v>
      </c>
      <c r="D10" s="31">
        <v>20.0</v>
      </c>
      <c r="E10" s="31">
        <v>0.0</v>
      </c>
      <c r="F10" s="32" t="s">
        <v>5</v>
      </c>
      <c r="G10" s="11" t="s">
        <v>22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6">
        <v>3.0</v>
      </c>
      <c r="B11" s="27" t="s">
        <v>110</v>
      </c>
      <c r="C11" s="32" t="s">
        <v>111</v>
      </c>
      <c r="D11" s="31">
        <v>200.0</v>
      </c>
      <c r="E11" s="31">
        <v>0.0</v>
      </c>
      <c r="F11" s="32" t="s">
        <v>5</v>
      </c>
      <c r="G11" s="11" t="s">
        <v>22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6">
        <v>4.0</v>
      </c>
      <c r="B12" s="27" t="s">
        <v>112</v>
      </c>
      <c r="C12" s="32" t="s">
        <v>113</v>
      </c>
      <c r="D12" s="31">
        <v>2000.0</v>
      </c>
      <c r="E12" s="31">
        <v>0.0</v>
      </c>
      <c r="F12" s="32" t="s">
        <v>5</v>
      </c>
      <c r="G12" s="11" t="s">
        <v>22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28" t="s">
        <v>79</v>
      </c>
      <c r="B13" s="29"/>
      <c r="C13" s="13"/>
      <c r="D13" s="1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4">
    <mergeCell ref="B5:D5"/>
    <mergeCell ref="B6:D6"/>
    <mergeCell ref="A7:D7"/>
    <mergeCell ref="B13:D13"/>
  </mergeCells>
  <hyperlinks>
    <hyperlink display="DF001" location="'Defect Summary'!A3:K3" ref="G9"/>
    <hyperlink display="DF001" location="'Defect Summary'!A3:K3" ref="G10"/>
    <hyperlink display="DF001" location="'Defect Summary'!A3:K3" ref="G11"/>
    <hyperlink display="DF001" location="'Defect Summary'!A3:K3" ref="G12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35.0"/>
    <col customWidth="1" min="3" max="3" width="24.86"/>
    <col customWidth="1" min="4" max="4" width="35.14"/>
    <col customWidth="1" min="5" max="5" width="34.14"/>
    <col customWidth="1" min="6" max="6" width="25.0"/>
    <col customWidth="1" min="7" max="7" width="27.0"/>
    <col customWidth="1" min="8" max="26" width="10.71"/>
  </cols>
  <sheetData>
    <row r="1" ht="27.0" customHeight="1">
      <c r="A1" s="18" t="s">
        <v>45</v>
      </c>
      <c r="B1" s="20" t="s">
        <v>114</v>
      </c>
      <c r="C1" s="18" t="s">
        <v>47</v>
      </c>
      <c r="D1" s="19" t="s">
        <v>48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8" t="s">
        <v>49</v>
      </c>
      <c r="B2" s="8" t="s">
        <v>25</v>
      </c>
      <c r="C2" s="18" t="s">
        <v>50</v>
      </c>
      <c r="D2" s="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8" t="s">
        <v>51</v>
      </c>
      <c r="B3" s="20" t="s">
        <v>52</v>
      </c>
      <c r="C3" s="18" t="s">
        <v>53</v>
      </c>
      <c r="D3" s="19" t="s">
        <v>54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8" t="s">
        <v>55</v>
      </c>
      <c r="B4" s="19"/>
      <c r="C4" s="18" t="s">
        <v>56</v>
      </c>
      <c r="D4" s="21">
        <v>45851.0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8" t="s">
        <v>57</v>
      </c>
      <c r="B5" s="22" t="s">
        <v>58</v>
      </c>
      <c r="C5" s="13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8" t="s">
        <v>59</v>
      </c>
      <c r="B6" s="23" t="s">
        <v>115</v>
      </c>
      <c r="C6" s="13"/>
      <c r="D6" s="1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4" t="s">
        <v>61</v>
      </c>
      <c r="B7" s="13"/>
      <c r="C7" s="13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5" t="s">
        <v>62</v>
      </c>
      <c r="B8" s="25" t="s">
        <v>63</v>
      </c>
      <c r="C8" s="25" t="s">
        <v>64</v>
      </c>
      <c r="D8" s="25" t="s">
        <v>65</v>
      </c>
      <c r="E8" s="3" t="s">
        <v>66</v>
      </c>
      <c r="F8" s="3" t="s">
        <v>67</v>
      </c>
      <c r="G8" s="3" t="s">
        <v>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6">
        <v>1.0</v>
      </c>
      <c r="B9" s="27" t="s">
        <v>116</v>
      </c>
      <c r="C9" s="32" t="s">
        <v>117</v>
      </c>
      <c r="D9" s="31">
        <v>3.0</v>
      </c>
      <c r="E9" s="31">
        <v>-1.0</v>
      </c>
      <c r="F9" s="32" t="s">
        <v>5</v>
      </c>
      <c r="G9" s="11" t="s">
        <v>26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6">
        <v>2.0</v>
      </c>
      <c r="B10" s="27" t="s">
        <v>118</v>
      </c>
      <c r="C10" s="32" t="s">
        <v>119</v>
      </c>
      <c r="D10" s="31">
        <v>30.0</v>
      </c>
      <c r="E10" s="31">
        <v>-10.0</v>
      </c>
      <c r="F10" s="32" t="s">
        <v>5</v>
      </c>
      <c r="G10" s="11" t="s">
        <v>26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6">
        <v>3.0</v>
      </c>
      <c r="B11" s="27" t="s">
        <v>120</v>
      </c>
      <c r="C11" s="32" t="s">
        <v>121</v>
      </c>
      <c r="D11" s="31">
        <v>300.0</v>
      </c>
      <c r="E11" s="31">
        <v>-100.0</v>
      </c>
      <c r="F11" s="32" t="s">
        <v>5</v>
      </c>
      <c r="G11" s="11" t="s">
        <v>26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6">
        <v>4.0</v>
      </c>
      <c r="B12" s="27" t="s">
        <v>122</v>
      </c>
      <c r="C12" s="32" t="s">
        <v>123</v>
      </c>
      <c r="D12" s="31">
        <v>3000.0</v>
      </c>
      <c r="E12" s="31">
        <v>-1000.0</v>
      </c>
      <c r="F12" s="32" t="s">
        <v>5</v>
      </c>
      <c r="G12" s="11" t="s">
        <v>26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28" t="s">
        <v>79</v>
      </c>
      <c r="B13" s="29"/>
      <c r="C13" s="13"/>
      <c r="D13" s="1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4">
    <mergeCell ref="B5:D5"/>
    <mergeCell ref="B6:D6"/>
    <mergeCell ref="A7:D7"/>
    <mergeCell ref="B13:D13"/>
  </mergeCells>
  <hyperlinks>
    <hyperlink display="DF002" location="'Defect Summary'!A4:K4" ref="G9"/>
    <hyperlink display="DF002" location="'Defect Summary'!A4:K4" ref="G10"/>
    <hyperlink display="DF002" location="'Defect Summary'!A4:K4" ref="G11"/>
    <hyperlink display="DF002" location="'Defect Summary'!A4:K4" ref="G12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35.0"/>
    <col customWidth="1" min="3" max="3" width="24.86"/>
    <col customWidth="1" min="4" max="4" width="35.14"/>
    <col customWidth="1" min="5" max="5" width="34.14"/>
    <col customWidth="1" min="6" max="6" width="25.0"/>
    <col customWidth="1" min="7" max="7" width="27.0"/>
    <col customWidth="1" min="8" max="26" width="10.71"/>
  </cols>
  <sheetData>
    <row r="1" ht="27.0" customHeight="1">
      <c r="A1" s="18" t="s">
        <v>45</v>
      </c>
      <c r="B1" s="20" t="s">
        <v>124</v>
      </c>
      <c r="C1" s="18" t="s">
        <v>47</v>
      </c>
      <c r="D1" s="19" t="s">
        <v>48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8" t="s">
        <v>49</v>
      </c>
      <c r="B2" s="8" t="s">
        <v>29</v>
      </c>
      <c r="C2" s="18" t="s">
        <v>50</v>
      </c>
      <c r="D2" s="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8" t="s">
        <v>51</v>
      </c>
      <c r="B3" s="20" t="s">
        <v>52</v>
      </c>
      <c r="C3" s="18" t="s">
        <v>53</v>
      </c>
      <c r="D3" s="19" t="s">
        <v>54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8" t="s">
        <v>55</v>
      </c>
      <c r="B4" s="19"/>
      <c r="C4" s="18" t="s">
        <v>56</v>
      </c>
      <c r="D4" s="21">
        <v>45851.0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8" t="s">
        <v>57</v>
      </c>
      <c r="B5" s="22" t="s">
        <v>58</v>
      </c>
      <c r="C5" s="13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8" t="s">
        <v>59</v>
      </c>
      <c r="B6" s="23" t="s">
        <v>125</v>
      </c>
      <c r="C6" s="13"/>
      <c r="D6" s="1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4" t="s">
        <v>61</v>
      </c>
      <c r="B7" s="13"/>
      <c r="C7" s="13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5" t="s">
        <v>62</v>
      </c>
      <c r="B8" s="25" t="s">
        <v>63</v>
      </c>
      <c r="C8" s="25" t="s">
        <v>64</v>
      </c>
      <c r="D8" s="25" t="s">
        <v>65</v>
      </c>
      <c r="E8" s="3" t="s">
        <v>66</v>
      </c>
      <c r="F8" s="3" t="s">
        <v>67</v>
      </c>
      <c r="G8" s="3" t="s">
        <v>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6">
        <v>1.0</v>
      </c>
      <c r="B9" s="27" t="s">
        <v>126</v>
      </c>
      <c r="C9" s="32" t="s">
        <v>127</v>
      </c>
      <c r="D9" s="31">
        <v>8.0</v>
      </c>
      <c r="E9" s="31">
        <v>4.0</v>
      </c>
      <c r="F9" s="32" t="s">
        <v>5</v>
      </c>
      <c r="G9" s="11" t="s">
        <v>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6">
        <v>2.0</v>
      </c>
      <c r="B10" s="27" t="s">
        <v>128</v>
      </c>
      <c r="C10" s="32" t="s">
        <v>129</v>
      </c>
      <c r="D10" s="31">
        <v>24.0</v>
      </c>
      <c r="E10" s="31">
        <v>4.0</v>
      </c>
      <c r="F10" s="32" t="s">
        <v>5</v>
      </c>
      <c r="G10" s="11" t="s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6">
        <v>3.0</v>
      </c>
      <c r="B11" s="27" t="s">
        <v>130</v>
      </c>
      <c r="C11" s="32" t="s">
        <v>131</v>
      </c>
      <c r="D11" s="31">
        <v>67.0</v>
      </c>
      <c r="E11" s="31">
        <v>65.0</v>
      </c>
      <c r="F11" s="32" t="s">
        <v>5</v>
      </c>
      <c r="G11" s="11" t="s">
        <v>30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6">
        <v>4.0</v>
      </c>
      <c r="B12" s="27" t="s">
        <v>132</v>
      </c>
      <c r="C12" s="32" t="s">
        <v>133</v>
      </c>
      <c r="D12" s="31">
        <v>770.0</v>
      </c>
      <c r="E12" s="31">
        <v>550.0</v>
      </c>
      <c r="F12" s="32" t="s">
        <v>5</v>
      </c>
      <c r="G12" s="11" t="s">
        <v>30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26">
        <v>5.0</v>
      </c>
      <c r="B13" s="27" t="s">
        <v>134</v>
      </c>
      <c r="C13" s="32" t="s">
        <v>135</v>
      </c>
      <c r="D13" s="31">
        <v>1420.0</v>
      </c>
      <c r="E13" s="31">
        <v>1411.0</v>
      </c>
      <c r="F13" s="32" t="s">
        <v>5</v>
      </c>
      <c r="G13" s="11" t="s">
        <v>30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28" t="s">
        <v>79</v>
      </c>
      <c r="B14" s="29"/>
      <c r="C14" s="13"/>
      <c r="D14" s="1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4">
    <mergeCell ref="B5:D5"/>
    <mergeCell ref="B6:D6"/>
    <mergeCell ref="A7:D7"/>
    <mergeCell ref="B14:D14"/>
  </mergeCells>
  <hyperlinks>
    <hyperlink display="DF003" location="'Defect Summary'!A5:K5" ref="G9"/>
    <hyperlink display="DF003" location="'Defect Summary'!A5:K5" ref="G10"/>
    <hyperlink display="DF003" location="'Defect Summary'!A5:K5" ref="G11"/>
    <hyperlink display="DF003" location="'Defect Summary'!A5:K5" ref="G12"/>
    <hyperlink display="DF003" location="'Defect Summary'!A5:K5" ref="G13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35.0"/>
    <col customWidth="1" min="3" max="3" width="24.86"/>
    <col customWidth="1" min="4" max="4" width="35.14"/>
    <col customWidth="1" min="5" max="5" width="34.14"/>
    <col customWidth="1" min="6" max="6" width="25.0"/>
    <col customWidth="1" min="7" max="7" width="27.0"/>
    <col customWidth="1" min="8" max="26" width="10.71"/>
  </cols>
  <sheetData>
    <row r="1" ht="27.0" customHeight="1">
      <c r="A1" s="18" t="s">
        <v>45</v>
      </c>
      <c r="B1" s="20" t="s">
        <v>136</v>
      </c>
      <c r="C1" s="18" t="s">
        <v>47</v>
      </c>
      <c r="D1" s="19" t="s">
        <v>48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8" t="s">
        <v>49</v>
      </c>
      <c r="B2" s="20" t="s">
        <v>33</v>
      </c>
      <c r="C2" s="18" t="s">
        <v>50</v>
      </c>
      <c r="D2" s="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8" t="s">
        <v>51</v>
      </c>
      <c r="B3" s="20" t="s">
        <v>52</v>
      </c>
      <c r="C3" s="18" t="s">
        <v>53</v>
      </c>
      <c r="D3" s="19" t="s">
        <v>54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8" t="s">
        <v>55</v>
      </c>
      <c r="B4" s="19"/>
      <c r="C4" s="18" t="s">
        <v>56</v>
      </c>
      <c r="D4" s="21">
        <v>45851.0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8" t="s">
        <v>57</v>
      </c>
      <c r="B5" s="22" t="s">
        <v>58</v>
      </c>
      <c r="C5" s="13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8" t="s">
        <v>59</v>
      </c>
      <c r="B6" s="23" t="s">
        <v>137</v>
      </c>
      <c r="C6" s="13"/>
      <c r="D6" s="1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4" t="s">
        <v>61</v>
      </c>
      <c r="B7" s="13"/>
      <c r="C7" s="13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5" t="s">
        <v>62</v>
      </c>
      <c r="B8" s="25" t="s">
        <v>63</v>
      </c>
      <c r="C8" s="25" t="s">
        <v>64</v>
      </c>
      <c r="D8" s="25" t="s">
        <v>65</v>
      </c>
      <c r="E8" s="3" t="s">
        <v>66</v>
      </c>
      <c r="F8" s="3" t="s">
        <v>67</v>
      </c>
      <c r="G8" s="3" t="s">
        <v>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6">
        <v>1.0</v>
      </c>
      <c r="B9" s="27" t="s">
        <v>138</v>
      </c>
      <c r="C9" s="32" t="s">
        <v>139</v>
      </c>
      <c r="D9" s="31">
        <v>74.0</v>
      </c>
      <c r="E9" s="31">
        <v>54.0</v>
      </c>
      <c r="F9" s="32" t="s">
        <v>5</v>
      </c>
      <c r="G9" s="11" t="s">
        <v>34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6">
        <v>2.0</v>
      </c>
      <c r="B10" s="27" t="s">
        <v>140</v>
      </c>
      <c r="C10" s="32" t="s">
        <v>141</v>
      </c>
      <c r="D10" s="31">
        <v>124.0</v>
      </c>
      <c r="E10" s="31">
        <v>104.0</v>
      </c>
      <c r="F10" s="32" t="s">
        <v>5</v>
      </c>
      <c r="G10" s="11" t="s">
        <v>34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6">
        <v>3.0</v>
      </c>
      <c r="B11" s="27" t="s">
        <v>142</v>
      </c>
      <c r="C11" s="32" t="s">
        <v>143</v>
      </c>
      <c r="D11" s="31">
        <v>709.0</v>
      </c>
      <c r="E11" s="31">
        <v>509.0</v>
      </c>
      <c r="F11" s="32" t="s">
        <v>5</v>
      </c>
      <c r="G11" s="11" t="s">
        <v>34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6">
        <v>4.0</v>
      </c>
      <c r="B12" s="27" t="s">
        <v>144</v>
      </c>
      <c r="C12" s="32" t="s">
        <v>145</v>
      </c>
      <c r="D12" s="31">
        <v>1470.0</v>
      </c>
      <c r="E12" s="31">
        <v>1450.0</v>
      </c>
      <c r="F12" s="32" t="s">
        <v>5</v>
      </c>
      <c r="G12" s="11" t="s">
        <v>34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28" t="s">
        <v>79</v>
      </c>
      <c r="B13" s="29"/>
      <c r="C13" s="13"/>
      <c r="D13" s="1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4">
    <mergeCell ref="B5:D5"/>
    <mergeCell ref="B6:D6"/>
    <mergeCell ref="A7:D7"/>
    <mergeCell ref="B13:D13"/>
  </mergeCells>
  <hyperlinks>
    <hyperlink display="DF004" location="'Defect Summary'!A1" ref="G9"/>
    <hyperlink display="DF004" location="'Defect Summary'!A1" ref="G10"/>
    <hyperlink display="DF004" location="'Defect Summary'!A1" ref="G11"/>
    <hyperlink display="DF004" location="'Defect Summary'!A1" ref="G12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35.0"/>
    <col customWidth="1" min="3" max="3" width="24.86"/>
    <col customWidth="1" min="4" max="4" width="35.14"/>
    <col customWidth="1" min="5" max="5" width="34.14"/>
    <col customWidth="1" min="6" max="6" width="25.0"/>
    <col customWidth="1" min="7" max="7" width="27.0"/>
    <col customWidth="1" min="8" max="26" width="10.71"/>
  </cols>
  <sheetData>
    <row r="1" ht="27.0" customHeight="1">
      <c r="A1" s="18" t="s">
        <v>45</v>
      </c>
      <c r="B1" s="20" t="s">
        <v>146</v>
      </c>
      <c r="C1" s="18" t="s">
        <v>47</v>
      </c>
      <c r="D1" s="19" t="s">
        <v>48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8" t="s">
        <v>49</v>
      </c>
      <c r="B2" s="20" t="s">
        <v>37</v>
      </c>
      <c r="C2" s="18" t="s">
        <v>50</v>
      </c>
      <c r="D2" s="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8" t="s">
        <v>51</v>
      </c>
      <c r="B3" s="20" t="s">
        <v>52</v>
      </c>
      <c r="C3" s="18" t="s">
        <v>53</v>
      </c>
      <c r="D3" s="19" t="s">
        <v>54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8" t="s">
        <v>55</v>
      </c>
      <c r="B4" s="19"/>
      <c r="C4" s="18" t="s">
        <v>56</v>
      </c>
      <c r="D4" s="21">
        <v>45851.0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8" t="s">
        <v>57</v>
      </c>
      <c r="B5" s="22" t="s">
        <v>58</v>
      </c>
      <c r="C5" s="13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8" t="s">
        <v>59</v>
      </c>
      <c r="B6" s="23" t="s">
        <v>147</v>
      </c>
      <c r="C6" s="13"/>
      <c r="D6" s="1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4" t="s">
        <v>61</v>
      </c>
      <c r="B7" s="13"/>
      <c r="C7" s="13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5" t="s">
        <v>62</v>
      </c>
      <c r="B8" s="25" t="s">
        <v>63</v>
      </c>
      <c r="C8" s="25" t="s">
        <v>64</v>
      </c>
      <c r="D8" s="25" t="s">
        <v>65</v>
      </c>
      <c r="E8" s="3" t="s">
        <v>66</v>
      </c>
      <c r="F8" s="3" t="s">
        <v>67</v>
      </c>
      <c r="G8" s="3" t="s">
        <v>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6">
        <v>1.0</v>
      </c>
      <c r="B9" s="27" t="s">
        <v>148</v>
      </c>
      <c r="C9" s="32" t="s">
        <v>149</v>
      </c>
      <c r="D9" s="32" t="s">
        <v>150</v>
      </c>
      <c r="E9" s="32" t="s">
        <v>150</v>
      </c>
      <c r="F9" s="32" t="s">
        <v>4</v>
      </c>
      <c r="G9" s="26" t="s">
        <v>12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6">
        <v>2.0</v>
      </c>
      <c r="B10" s="27" t="s">
        <v>151</v>
      </c>
      <c r="C10" s="31">
        <v>0.0</v>
      </c>
      <c r="D10" s="32" t="s">
        <v>150</v>
      </c>
      <c r="E10" s="32" t="s">
        <v>150</v>
      </c>
      <c r="F10" s="32" t="s">
        <v>4</v>
      </c>
      <c r="G10" s="26" t="s">
        <v>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6">
        <v>3.0</v>
      </c>
      <c r="B11" s="27" t="s">
        <v>152</v>
      </c>
      <c r="C11" s="32" t="s">
        <v>12</v>
      </c>
      <c r="D11" s="32" t="s">
        <v>150</v>
      </c>
      <c r="E11" s="32" t="s">
        <v>150</v>
      </c>
      <c r="F11" s="32" t="s">
        <v>4</v>
      </c>
      <c r="G11" s="26" t="s">
        <v>12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6">
        <v>4.0</v>
      </c>
      <c r="B12" s="27" t="s">
        <v>153</v>
      </c>
      <c r="C12" s="32" t="s">
        <v>154</v>
      </c>
      <c r="D12" s="32" t="s">
        <v>150</v>
      </c>
      <c r="E12" s="32" t="s">
        <v>150</v>
      </c>
      <c r="F12" s="32" t="s">
        <v>4</v>
      </c>
      <c r="G12" s="26" t="s">
        <v>12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26">
        <v>5.0</v>
      </c>
      <c r="B13" s="27" t="s">
        <v>155</v>
      </c>
      <c r="C13" s="32" t="s">
        <v>156</v>
      </c>
      <c r="D13" s="32" t="s">
        <v>150</v>
      </c>
      <c r="E13" s="32" t="s">
        <v>150</v>
      </c>
      <c r="F13" s="32" t="s">
        <v>4</v>
      </c>
      <c r="G13" s="26" t="s">
        <v>12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28" t="s">
        <v>79</v>
      </c>
      <c r="B14" s="29"/>
      <c r="C14" s="13"/>
      <c r="D14" s="1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4">
    <mergeCell ref="B5:D5"/>
    <mergeCell ref="B6:D6"/>
    <mergeCell ref="A7:D7"/>
    <mergeCell ref="B14:D1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35.0"/>
    <col customWidth="1" min="3" max="3" width="24.86"/>
    <col customWidth="1" min="4" max="4" width="35.14"/>
    <col customWidth="1" min="5" max="5" width="34.14"/>
    <col customWidth="1" min="6" max="6" width="25.0"/>
    <col customWidth="1" min="7" max="7" width="27.0"/>
    <col customWidth="1" min="8" max="26" width="10.71"/>
  </cols>
  <sheetData>
    <row r="1" ht="27.0" customHeight="1">
      <c r="A1" s="18" t="s">
        <v>45</v>
      </c>
      <c r="B1" s="20" t="s">
        <v>157</v>
      </c>
      <c r="C1" s="18" t="s">
        <v>47</v>
      </c>
      <c r="D1" s="19" t="s">
        <v>48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8" t="s">
        <v>49</v>
      </c>
      <c r="B2" s="8" t="s">
        <v>40</v>
      </c>
      <c r="C2" s="18" t="s">
        <v>50</v>
      </c>
      <c r="D2" s="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8" t="s">
        <v>51</v>
      </c>
      <c r="B3" s="20" t="s">
        <v>52</v>
      </c>
      <c r="C3" s="18" t="s">
        <v>53</v>
      </c>
      <c r="D3" s="19" t="s">
        <v>54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8" t="s">
        <v>55</v>
      </c>
      <c r="B4" s="19"/>
      <c r="C4" s="18" t="s">
        <v>56</v>
      </c>
      <c r="D4" s="21">
        <v>45851.0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8" t="s">
        <v>57</v>
      </c>
      <c r="B5" s="22" t="s">
        <v>58</v>
      </c>
      <c r="C5" s="13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8" t="s">
        <v>59</v>
      </c>
      <c r="B6" s="23" t="s">
        <v>158</v>
      </c>
      <c r="C6" s="13"/>
      <c r="D6" s="1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4" t="s">
        <v>61</v>
      </c>
      <c r="B7" s="13"/>
      <c r="C7" s="13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5" t="s">
        <v>62</v>
      </c>
      <c r="B8" s="25" t="s">
        <v>63</v>
      </c>
      <c r="C8" s="25" t="s">
        <v>64</v>
      </c>
      <c r="D8" s="25" t="s">
        <v>65</v>
      </c>
      <c r="E8" s="3" t="s">
        <v>66</v>
      </c>
      <c r="F8" s="3" t="s">
        <v>67</v>
      </c>
      <c r="G8" s="3" t="s">
        <v>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6">
        <v>1.0</v>
      </c>
      <c r="B9" s="27" t="s">
        <v>159</v>
      </c>
      <c r="C9" s="32" t="s">
        <v>160</v>
      </c>
      <c r="D9" s="32" t="s">
        <v>161</v>
      </c>
      <c r="E9" s="32" t="s">
        <v>161</v>
      </c>
      <c r="F9" s="32" t="s">
        <v>4</v>
      </c>
      <c r="G9" s="26" t="s">
        <v>12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6">
        <v>2.0</v>
      </c>
      <c r="B10" s="27" t="s">
        <v>162</v>
      </c>
      <c r="C10" s="32" t="s">
        <v>163</v>
      </c>
      <c r="D10" s="32" t="s">
        <v>164</v>
      </c>
      <c r="E10" s="32" t="s">
        <v>164</v>
      </c>
      <c r="F10" s="32" t="s">
        <v>4</v>
      </c>
      <c r="G10" s="26" t="s">
        <v>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6">
        <v>3.0</v>
      </c>
      <c r="B11" s="27" t="s">
        <v>165</v>
      </c>
      <c r="C11" s="32" t="s">
        <v>166</v>
      </c>
      <c r="D11" s="32" t="s">
        <v>167</v>
      </c>
      <c r="E11" s="32" t="s">
        <v>167</v>
      </c>
      <c r="F11" s="32" t="s">
        <v>4</v>
      </c>
      <c r="G11" s="26" t="s">
        <v>12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8" t="s">
        <v>79</v>
      </c>
      <c r="B12" s="29"/>
      <c r="C12" s="13"/>
      <c r="D12" s="1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4">
    <mergeCell ref="B5:D5"/>
    <mergeCell ref="B6:D6"/>
    <mergeCell ref="A7:D7"/>
    <mergeCell ref="B12:D1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35.0"/>
    <col customWidth="1" min="3" max="3" width="24.86"/>
    <col customWidth="1" min="4" max="4" width="35.14"/>
    <col customWidth="1" min="5" max="5" width="34.14"/>
    <col customWidth="1" min="6" max="6" width="25.0"/>
    <col customWidth="1" min="7" max="7" width="27.0"/>
    <col customWidth="1" min="8" max="26" width="10.71"/>
  </cols>
  <sheetData>
    <row r="1" ht="27.0" customHeight="1">
      <c r="A1" s="18" t="s">
        <v>45</v>
      </c>
      <c r="B1" s="20" t="s">
        <v>168</v>
      </c>
      <c r="C1" s="18" t="s">
        <v>47</v>
      </c>
      <c r="D1" s="19" t="s">
        <v>48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8" t="s">
        <v>49</v>
      </c>
      <c r="B2" s="20" t="s">
        <v>43</v>
      </c>
      <c r="C2" s="18" t="s">
        <v>50</v>
      </c>
      <c r="D2" s="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8" t="s">
        <v>51</v>
      </c>
      <c r="B3" s="20" t="s">
        <v>52</v>
      </c>
      <c r="C3" s="18" t="s">
        <v>53</v>
      </c>
      <c r="D3" s="19" t="s">
        <v>54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8" t="s">
        <v>55</v>
      </c>
      <c r="B4" s="19"/>
      <c r="C4" s="18" t="s">
        <v>56</v>
      </c>
      <c r="D4" s="21">
        <v>45851.0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8" t="s">
        <v>57</v>
      </c>
      <c r="B5" s="22" t="s">
        <v>58</v>
      </c>
      <c r="C5" s="13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8" t="s">
        <v>59</v>
      </c>
      <c r="B6" s="23" t="s">
        <v>169</v>
      </c>
      <c r="C6" s="13"/>
      <c r="D6" s="1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4" t="s">
        <v>61</v>
      </c>
      <c r="B7" s="13"/>
      <c r="C7" s="13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5" t="s">
        <v>62</v>
      </c>
      <c r="B8" s="25" t="s">
        <v>63</v>
      </c>
      <c r="C8" s="25" t="s">
        <v>64</v>
      </c>
      <c r="D8" s="25" t="s">
        <v>65</v>
      </c>
      <c r="E8" s="3" t="s">
        <v>66</v>
      </c>
      <c r="F8" s="3" t="s">
        <v>67</v>
      </c>
      <c r="G8" s="3" t="s">
        <v>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6">
        <v>1.0</v>
      </c>
      <c r="B9" s="27" t="s">
        <v>170</v>
      </c>
      <c r="C9" s="32" t="s">
        <v>171</v>
      </c>
      <c r="D9" s="32" t="s">
        <v>172</v>
      </c>
      <c r="E9" s="32" t="s">
        <v>172</v>
      </c>
      <c r="F9" s="32" t="s">
        <v>4</v>
      </c>
      <c r="G9" s="26" t="s">
        <v>12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6">
        <v>2.0</v>
      </c>
      <c r="B10" s="27" t="s">
        <v>173</v>
      </c>
      <c r="C10" s="32" t="s">
        <v>174</v>
      </c>
      <c r="D10" s="32" t="s">
        <v>175</v>
      </c>
      <c r="E10" s="32" t="s">
        <v>175</v>
      </c>
      <c r="F10" s="32" t="s">
        <v>4</v>
      </c>
      <c r="G10" s="26" t="s">
        <v>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6">
        <v>3.0</v>
      </c>
      <c r="B11" s="27" t="s">
        <v>176</v>
      </c>
      <c r="C11" s="32" t="s">
        <v>177</v>
      </c>
      <c r="D11" s="32" t="s">
        <v>178</v>
      </c>
      <c r="E11" s="32" t="s">
        <v>178</v>
      </c>
      <c r="F11" s="32" t="s">
        <v>4</v>
      </c>
      <c r="G11" s="26" t="s">
        <v>12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6">
        <v>4.0</v>
      </c>
      <c r="B12" s="27" t="s">
        <v>179</v>
      </c>
      <c r="C12" s="32" t="s">
        <v>180</v>
      </c>
      <c r="D12" s="32" t="s">
        <v>181</v>
      </c>
      <c r="E12" s="32" t="s">
        <v>181</v>
      </c>
      <c r="F12" s="32" t="s">
        <v>4</v>
      </c>
      <c r="G12" s="26" t="s">
        <v>12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26">
        <v>5.0</v>
      </c>
      <c r="B13" s="27" t="s">
        <v>182</v>
      </c>
      <c r="C13" s="32" t="s">
        <v>183</v>
      </c>
      <c r="D13" s="32" t="s">
        <v>184</v>
      </c>
      <c r="E13" s="32" t="s">
        <v>184</v>
      </c>
      <c r="F13" s="32" t="s">
        <v>4</v>
      </c>
      <c r="G13" s="26" t="s">
        <v>12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28" t="s">
        <v>79</v>
      </c>
      <c r="B14" s="29"/>
      <c r="C14" s="13"/>
      <c r="D14" s="1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4">
    <mergeCell ref="B5:D5"/>
    <mergeCell ref="B6:D6"/>
    <mergeCell ref="A7:D7"/>
    <mergeCell ref="B14:D1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4.43"/>
    <col customWidth="1" min="3" max="3" width="10.86"/>
    <col customWidth="1" min="4" max="4" width="24.43"/>
    <col customWidth="1" min="5" max="5" width="21.86"/>
    <col customWidth="1" min="6" max="6" width="23.14"/>
    <col customWidth="1" min="7" max="26" width="10.71"/>
  </cols>
  <sheetData>
    <row r="1" ht="16.5" customHeight="1">
      <c r="A1" s="33"/>
      <c r="B1" s="33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6.5" customHeight="1">
      <c r="A2" s="35" t="s">
        <v>185</v>
      </c>
      <c r="B2" s="13"/>
      <c r="C2" s="13"/>
      <c r="D2" s="13"/>
      <c r="E2" s="13"/>
      <c r="F2" s="1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6.5" customHeight="1">
      <c r="A3" s="33"/>
      <c r="B3" s="33"/>
      <c r="C3" s="33"/>
      <c r="D3" s="33"/>
      <c r="E3" s="33"/>
      <c r="F3" s="33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6.5" customHeight="1">
      <c r="A4" s="36" t="s">
        <v>186</v>
      </c>
      <c r="B4" s="37" t="s">
        <v>187</v>
      </c>
      <c r="C4" s="13"/>
      <c r="D4" s="36" t="s">
        <v>188</v>
      </c>
      <c r="E4" s="38" t="s">
        <v>48</v>
      </c>
      <c r="F4" s="1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6.5" customHeight="1">
      <c r="A5" s="36" t="s">
        <v>189</v>
      </c>
      <c r="B5" s="39"/>
      <c r="C5" s="13"/>
      <c r="D5" s="36" t="s">
        <v>190</v>
      </c>
      <c r="E5" s="22" t="s">
        <v>52</v>
      </c>
      <c r="F5" s="1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6.5" customHeight="1">
      <c r="A6" s="40" t="s">
        <v>191</v>
      </c>
      <c r="B6" s="41"/>
      <c r="C6" s="13"/>
      <c r="D6" s="13"/>
      <c r="E6" s="13"/>
      <c r="F6" s="1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6.5" customHeight="1">
      <c r="A7" s="33"/>
      <c r="B7" s="33"/>
      <c r="C7" s="33"/>
      <c r="D7" s="33"/>
      <c r="E7" s="33"/>
      <c r="F7" s="33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6.5" customHeight="1">
      <c r="A8" s="42" t="s">
        <v>1</v>
      </c>
      <c r="B8" s="42" t="s">
        <v>192</v>
      </c>
      <c r="C8" s="42" t="s">
        <v>64</v>
      </c>
      <c r="D8" s="42" t="s">
        <v>193</v>
      </c>
      <c r="E8" s="42" t="s">
        <v>194</v>
      </c>
      <c r="F8" s="43" t="s">
        <v>195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6.5" customHeight="1">
      <c r="A9" s="44" t="s">
        <v>10</v>
      </c>
      <c r="B9" s="45" t="s">
        <v>196</v>
      </c>
      <c r="C9" s="46" t="s">
        <v>70</v>
      </c>
      <c r="D9" s="46">
        <v>1.0</v>
      </c>
      <c r="E9" s="46">
        <v>1.0</v>
      </c>
      <c r="F9" s="46" t="s">
        <v>4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6.5" customHeight="1">
      <c r="A10" s="47"/>
      <c r="B10" s="45" t="s">
        <v>197</v>
      </c>
      <c r="C10" s="46" t="s">
        <v>72</v>
      </c>
      <c r="D10" s="46">
        <v>5.0</v>
      </c>
      <c r="E10" s="46">
        <v>5.0</v>
      </c>
      <c r="F10" s="46" t="s">
        <v>4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6.5" customHeight="1">
      <c r="A11" s="47"/>
      <c r="B11" s="45" t="s">
        <v>198</v>
      </c>
      <c r="C11" s="46" t="s">
        <v>74</v>
      </c>
      <c r="D11" s="46">
        <v>50.0</v>
      </c>
      <c r="E11" s="46">
        <v>50.0</v>
      </c>
      <c r="F11" s="46" t="s">
        <v>4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6.5" customHeight="1">
      <c r="A12" s="47"/>
      <c r="B12" s="45" t="s">
        <v>199</v>
      </c>
      <c r="C12" s="46" t="s">
        <v>76</v>
      </c>
      <c r="D12" s="46">
        <v>500.0</v>
      </c>
      <c r="E12" s="46">
        <v>500.0</v>
      </c>
      <c r="F12" s="46" t="s">
        <v>4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6.5" customHeight="1">
      <c r="A13" s="48"/>
      <c r="B13" s="45" t="s">
        <v>200</v>
      </c>
      <c r="C13" s="46" t="s">
        <v>78</v>
      </c>
      <c r="D13" s="46">
        <v>1000.0</v>
      </c>
      <c r="E13" s="46">
        <v>1000.0</v>
      </c>
      <c r="F13" s="46" t="s">
        <v>4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6.5" customHeight="1">
      <c r="A14" s="49" t="s">
        <v>14</v>
      </c>
      <c r="B14" s="45" t="s">
        <v>196</v>
      </c>
      <c r="C14" s="46" t="s">
        <v>83</v>
      </c>
      <c r="D14" s="46">
        <v>4.0</v>
      </c>
      <c r="E14" s="46">
        <v>4.0</v>
      </c>
      <c r="F14" s="46" t="s">
        <v>4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6.5" customHeight="1">
      <c r="A15" s="47"/>
      <c r="B15" s="45" t="s">
        <v>197</v>
      </c>
      <c r="C15" s="46" t="s">
        <v>85</v>
      </c>
      <c r="D15" s="46">
        <v>9.0</v>
      </c>
      <c r="E15" s="46">
        <v>9.0</v>
      </c>
      <c r="F15" s="46" t="s">
        <v>4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6.5" customHeight="1">
      <c r="A16" s="47"/>
      <c r="B16" s="45" t="s">
        <v>198</v>
      </c>
      <c r="C16" s="46" t="s">
        <v>87</v>
      </c>
      <c r="D16" s="46">
        <v>40.0</v>
      </c>
      <c r="E16" s="46">
        <v>40.0</v>
      </c>
      <c r="F16" s="46" t="s">
        <v>4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6.5" customHeight="1">
      <c r="A17" s="47"/>
      <c r="B17" s="45" t="s">
        <v>199</v>
      </c>
      <c r="C17" s="46" t="s">
        <v>89</v>
      </c>
      <c r="D17" s="46">
        <v>450.0</v>
      </c>
      <c r="E17" s="46">
        <v>450.0</v>
      </c>
      <c r="F17" s="46" t="s">
        <v>4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6.5" customHeight="1">
      <c r="A18" s="48"/>
      <c r="B18" s="45" t="s">
        <v>200</v>
      </c>
      <c r="C18" s="46" t="s">
        <v>91</v>
      </c>
      <c r="D18" s="46">
        <v>900.0</v>
      </c>
      <c r="E18" s="46">
        <v>900.0</v>
      </c>
      <c r="F18" s="46" t="s">
        <v>4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6.5" customHeight="1">
      <c r="A19" s="49" t="s">
        <v>17</v>
      </c>
      <c r="B19" s="45" t="s">
        <v>196</v>
      </c>
      <c r="C19" s="46" t="s">
        <v>95</v>
      </c>
      <c r="D19" s="46">
        <v>6.0</v>
      </c>
      <c r="E19" s="46">
        <v>6.0</v>
      </c>
      <c r="F19" s="46" t="s">
        <v>4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6.5" customHeight="1">
      <c r="A20" s="47"/>
      <c r="B20" s="45" t="s">
        <v>197</v>
      </c>
      <c r="C20" s="46" t="s">
        <v>97</v>
      </c>
      <c r="D20" s="46">
        <v>15.0</v>
      </c>
      <c r="E20" s="46">
        <v>15.0</v>
      </c>
      <c r="F20" s="46" t="s">
        <v>4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6.5" customHeight="1">
      <c r="A21" s="47"/>
      <c r="B21" s="45" t="s">
        <v>198</v>
      </c>
      <c r="C21" s="46" t="s">
        <v>99</v>
      </c>
      <c r="D21" s="46">
        <v>150.0</v>
      </c>
      <c r="E21" s="46">
        <v>150.0</v>
      </c>
      <c r="F21" s="46" t="s">
        <v>4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6.5" customHeight="1">
      <c r="A22" s="47"/>
      <c r="B22" s="45" t="s">
        <v>199</v>
      </c>
      <c r="C22" s="46" t="s">
        <v>101</v>
      </c>
      <c r="D22" s="46">
        <v>600.0</v>
      </c>
      <c r="E22" s="46">
        <v>600.0</v>
      </c>
      <c r="F22" s="46" t="s">
        <v>4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6.5" customHeight="1">
      <c r="A23" s="48"/>
      <c r="B23" s="45" t="s">
        <v>200</v>
      </c>
      <c r="C23" s="46" t="s">
        <v>103</v>
      </c>
      <c r="D23" s="46">
        <v>1500.0</v>
      </c>
      <c r="E23" s="46">
        <v>1500.0</v>
      </c>
      <c r="F23" s="46" t="s">
        <v>4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6.5" customHeight="1">
      <c r="A24" s="49" t="s">
        <v>20</v>
      </c>
      <c r="B24" s="45" t="s">
        <v>196</v>
      </c>
      <c r="C24" s="46" t="s">
        <v>107</v>
      </c>
      <c r="D24" s="46">
        <v>2.0</v>
      </c>
      <c r="E24" s="46">
        <v>0.0</v>
      </c>
      <c r="F24" s="46" t="s">
        <v>5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6.5" customHeight="1">
      <c r="A25" s="47"/>
      <c r="B25" s="45" t="s">
        <v>197</v>
      </c>
      <c r="C25" s="46" t="s">
        <v>109</v>
      </c>
      <c r="D25" s="46">
        <v>20.0</v>
      </c>
      <c r="E25" s="46">
        <v>0.0</v>
      </c>
      <c r="F25" s="46" t="s">
        <v>5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6.5" customHeight="1">
      <c r="A26" s="47"/>
      <c r="B26" s="45" t="s">
        <v>198</v>
      </c>
      <c r="C26" s="46" t="s">
        <v>111</v>
      </c>
      <c r="D26" s="46">
        <v>200.0</v>
      </c>
      <c r="E26" s="46">
        <v>0.0</v>
      </c>
      <c r="F26" s="46" t="s">
        <v>5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6.5" customHeight="1">
      <c r="A27" s="48"/>
      <c r="B27" s="45" t="s">
        <v>199</v>
      </c>
      <c r="C27" s="46" t="s">
        <v>113</v>
      </c>
      <c r="D27" s="46">
        <v>2000.0</v>
      </c>
      <c r="E27" s="46">
        <v>0.0</v>
      </c>
      <c r="F27" s="46" t="s">
        <v>5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6.5" customHeight="1">
      <c r="A28" s="49" t="s">
        <v>24</v>
      </c>
      <c r="B28" s="45" t="s">
        <v>196</v>
      </c>
      <c r="C28" s="46" t="s">
        <v>117</v>
      </c>
      <c r="D28" s="46">
        <v>3.0</v>
      </c>
      <c r="E28" s="46">
        <v>-1.0</v>
      </c>
      <c r="F28" s="46" t="s">
        <v>5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6.5" customHeight="1">
      <c r="A29" s="47"/>
      <c r="B29" s="45" t="s">
        <v>197</v>
      </c>
      <c r="C29" s="46" t="s">
        <v>119</v>
      </c>
      <c r="D29" s="46">
        <v>30.0</v>
      </c>
      <c r="E29" s="46">
        <v>-10.0</v>
      </c>
      <c r="F29" s="46" t="s">
        <v>5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6.5" customHeight="1">
      <c r="A30" s="47"/>
      <c r="B30" s="45" t="s">
        <v>198</v>
      </c>
      <c r="C30" s="46" t="s">
        <v>121</v>
      </c>
      <c r="D30" s="46">
        <v>300.0</v>
      </c>
      <c r="E30" s="46">
        <v>-100.0</v>
      </c>
      <c r="F30" s="46" t="s">
        <v>5</v>
      </c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6.5" customHeight="1">
      <c r="A31" s="48"/>
      <c r="B31" s="45" t="s">
        <v>199</v>
      </c>
      <c r="C31" s="46" t="s">
        <v>123</v>
      </c>
      <c r="D31" s="46">
        <v>3000.0</v>
      </c>
      <c r="E31" s="46">
        <v>-1000.0</v>
      </c>
      <c r="F31" s="46" t="s">
        <v>5</v>
      </c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6.5" customHeight="1">
      <c r="A32" s="49" t="s">
        <v>28</v>
      </c>
      <c r="B32" s="45" t="s">
        <v>196</v>
      </c>
      <c r="C32" s="46" t="s">
        <v>127</v>
      </c>
      <c r="D32" s="46">
        <v>8.0</v>
      </c>
      <c r="E32" s="46">
        <v>4.0</v>
      </c>
      <c r="F32" s="46" t="s">
        <v>5</v>
      </c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6.5" customHeight="1">
      <c r="A33" s="47"/>
      <c r="B33" s="45" t="s">
        <v>197</v>
      </c>
      <c r="C33" s="46" t="s">
        <v>129</v>
      </c>
      <c r="D33" s="46">
        <v>24.0</v>
      </c>
      <c r="E33" s="46">
        <v>4.0</v>
      </c>
      <c r="F33" s="46" t="s">
        <v>5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6.5" customHeight="1">
      <c r="A34" s="47"/>
      <c r="B34" s="45" t="s">
        <v>198</v>
      </c>
      <c r="C34" s="46" t="s">
        <v>131</v>
      </c>
      <c r="D34" s="46">
        <v>67.0</v>
      </c>
      <c r="E34" s="46">
        <v>65.0</v>
      </c>
      <c r="F34" s="46" t="s">
        <v>5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6.5" customHeight="1">
      <c r="A35" s="47"/>
      <c r="B35" s="45" t="s">
        <v>199</v>
      </c>
      <c r="C35" s="46" t="s">
        <v>133</v>
      </c>
      <c r="D35" s="46">
        <v>770.0</v>
      </c>
      <c r="E35" s="46">
        <v>550.0</v>
      </c>
      <c r="F35" s="46" t="s">
        <v>5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6.5" customHeight="1">
      <c r="A36" s="48"/>
      <c r="B36" s="45" t="s">
        <v>200</v>
      </c>
      <c r="C36" s="46" t="s">
        <v>135</v>
      </c>
      <c r="D36" s="46">
        <v>1420.0</v>
      </c>
      <c r="E36" s="46">
        <v>1411.0</v>
      </c>
      <c r="F36" s="46" t="s">
        <v>5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6.5" customHeight="1">
      <c r="A37" s="49" t="s">
        <v>32</v>
      </c>
      <c r="B37" s="45" t="s">
        <v>196</v>
      </c>
      <c r="C37" s="46" t="s">
        <v>139</v>
      </c>
      <c r="D37" s="46">
        <v>74.0</v>
      </c>
      <c r="E37" s="46">
        <v>54.0</v>
      </c>
      <c r="F37" s="46" t="s">
        <v>5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6.5" customHeight="1">
      <c r="A38" s="47"/>
      <c r="B38" s="45" t="s">
        <v>197</v>
      </c>
      <c r="C38" s="46" t="s">
        <v>141</v>
      </c>
      <c r="D38" s="46">
        <v>124.0</v>
      </c>
      <c r="E38" s="46">
        <v>104.0</v>
      </c>
      <c r="F38" s="46" t="s">
        <v>5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6.5" customHeight="1">
      <c r="A39" s="47"/>
      <c r="B39" s="45" t="s">
        <v>198</v>
      </c>
      <c r="C39" s="46" t="s">
        <v>143</v>
      </c>
      <c r="D39" s="46">
        <v>709.0</v>
      </c>
      <c r="E39" s="46">
        <v>509.0</v>
      </c>
      <c r="F39" s="46" t="s">
        <v>5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6.5" customHeight="1">
      <c r="A40" s="48"/>
      <c r="B40" s="45" t="s">
        <v>199</v>
      </c>
      <c r="C40" s="46" t="s">
        <v>145</v>
      </c>
      <c r="D40" s="46">
        <v>1470.0</v>
      </c>
      <c r="E40" s="46">
        <v>1450.0</v>
      </c>
      <c r="F40" s="46" t="s">
        <v>5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6.5" customHeight="1">
      <c r="A41" s="49" t="s">
        <v>36</v>
      </c>
      <c r="B41" s="45" t="s">
        <v>196</v>
      </c>
      <c r="C41" s="46" t="s">
        <v>149</v>
      </c>
      <c r="D41" s="46" t="s">
        <v>150</v>
      </c>
      <c r="E41" s="46" t="s">
        <v>150</v>
      </c>
      <c r="F41" s="46" t="s">
        <v>4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6.5" customHeight="1">
      <c r="A42" s="47"/>
      <c r="B42" s="45" t="s">
        <v>197</v>
      </c>
      <c r="C42" s="46">
        <v>0.0</v>
      </c>
      <c r="D42" s="46" t="s">
        <v>150</v>
      </c>
      <c r="E42" s="46" t="s">
        <v>150</v>
      </c>
      <c r="F42" s="46" t="s">
        <v>4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6.5" customHeight="1">
      <c r="A43" s="47"/>
      <c r="B43" s="45" t="s">
        <v>198</v>
      </c>
      <c r="C43" s="46" t="s">
        <v>12</v>
      </c>
      <c r="D43" s="46" t="s">
        <v>150</v>
      </c>
      <c r="E43" s="46" t="s">
        <v>150</v>
      </c>
      <c r="F43" s="46" t="s">
        <v>4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6.5" customHeight="1">
      <c r="A44" s="47"/>
      <c r="B44" s="45" t="s">
        <v>199</v>
      </c>
      <c r="C44" s="46" t="s">
        <v>154</v>
      </c>
      <c r="D44" s="46" t="s">
        <v>150</v>
      </c>
      <c r="E44" s="46" t="s">
        <v>150</v>
      </c>
      <c r="F44" s="46" t="s">
        <v>4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6.5" customHeight="1">
      <c r="A45" s="48"/>
      <c r="B45" s="45" t="s">
        <v>200</v>
      </c>
      <c r="C45" s="46" t="s">
        <v>156</v>
      </c>
      <c r="D45" s="46" t="s">
        <v>150</v>
      </c>
      <c r="E45" s="46" t="s">
        <v>150</v>
      </c>
      <c r="F45" s="46" t="s">
        <v>4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6.5" customHeight="1">
      <c r="A46" s="49" t="s">
        <v>39</v>
      </c>
      <c r="B46" s="45" t="s">
        <v>196</v>
      </c>
      <c r="C46" s="46" t="s">
        <v>160</v>
      </c>
      <c r="D46" s="46" t="s">
        <v>161</v>
      </c>
      <c r="E46" s="46" t="s">
        <v>161</v>
      </c>
      <c r="F46" s="46" t="s">
        <v>4</v>
      </c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6.5" customHeight="1">
      <c r="A47" s="47"/>
      <c r="B47" s="45" t="s">
        <v>197</v>
      </c>
      <c r="C47" s="46" t="s">
        <v>163</v>
      </c>
      <c r="D47" s="46" t="s">
        <v>164</v>
      </c>
      <c r="E47" s="46" t="s">
        <v>164</v>
      </c>
      <c r="F47" s="46" t="s">
        <v>4</v>
      </c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6.5" customHeight="1">
      <c r="A48" s="48"/>
      <c r="B48" s="45" t="s">
        <v>198</v>
      </c>
      <c r="C48" s="46" t="s">
        <v>166</v>
      </c>
      <c r="D48" s="46" t="s">
        <v>167</v>
      </c>
      <c r="E48" s="46" t="s">
        <v>167</v>
      </c>
      <c r="F48" s="46" t="s">
        <v>4</v>
      </c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6.5" customHeight="1">
      <c r="A49" s="49" t="s">
        <v>42</v>
      </c>
      <c r="B49" s="45" t="s">
        <v>196</v>
      </c>
      <c r="C49" s="46" t="s">
        <v>171</v>
      </c>
      <c r="D49" s="46" t="s">
        <v>172</v>
      </c>
      <c r="E49" s="46" t="s">
        <v>172</v>
      </c>
      <c r="F49" s="46" t="s">
        <v>4</v>
      </c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6.5" customHeight="1">
      <c r="A50" s="47"/>
      <c r="B50" s="45" t="s">
        <v>197</v>
      </c>
      <c r="C50" s="46" t="s">
        <v>174</v>
      </c>
      <c r="D50" s="46" t="s">
        <v>175</v>
      </c>
      <c r="E50" s="46" t="s">
        <v>175</v>
      </c>
      <c r="F50" s="46" t="s">
        <v>4</v>
      </c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6.5" customHeight="1">
      <c r="A51" s="47"/>
      <c r="B51" s="45" t="s">
        <v>198</v>
      </c>
      <c r="C51" s="46" t="s">
        <v>177</v>
      </c>
      <c r="D51" s="46" t="s">
        <v>178</v>
      </c>
      <c r="E51" s="46" t="s">
        <v>178</v>
      </c>
      <c r="F51" s="46" t="s">
        <v>4</v>
      </c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6.5" customHeight="1">
      <c r="A52" s="47"/>
      <c r="B52" s="45" t="s">
        <v>199</v>
      </c>
      <c r="C52" s="46" t="s">
        <v>180</v>
      </c>
      <c r="D52" s="46" t="s">
        <v>181</v>
      </c>
      <c r="E52" s="46" t="s">
        <v>181</v>
      </c>
      <c r="F52" s="46" t="s">
        <v>4</v>
      </c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6.5" customHeight="1">
      <c r="A53" s="48"/>
      <c r="B53" s="45" t="s">
        <v>200</v>
      </c>
      <c r="C53" s="46" t="s">
        <v>183</v>
      </c>
      <c r="D53" s="46" t="s">
        <v>184</v>
      </c>
      <c r="E53" s="46" t="s">
        <v>184</v>
      </c>
      <c r="F53" s="46" t="s">
        <v>4</v>
      </c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6.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6.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6.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6.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6.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6.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6.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6.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6.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6.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6.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6.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6.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6.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6.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6.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6.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6.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6.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6.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6.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6.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6.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6.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6.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6.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6.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6.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6.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6.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6.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6.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6.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6.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6.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6.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6.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6.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6.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6.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6.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6.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6.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6.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6.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6.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6.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6.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6.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6.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6.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6.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6.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6.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6.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6.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6.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6.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6.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6.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6.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6.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6.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6.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6.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6.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6.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6.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6.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6.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6.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6.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6.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6.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6.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6.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6.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6.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6.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6.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6.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6.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6.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6.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6.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6.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6.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6.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6.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6.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6.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6.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6.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6.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6.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6.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6.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6.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6.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6.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6.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6.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6.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6.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6.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6.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6.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6.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6.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6.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6.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6.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6.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6.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6.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6.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6.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6.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6.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6.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6.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6.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6.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6.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6.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6.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6.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6.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6.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6.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6.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6.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6.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6.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6.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6.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6.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6.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6.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6.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6.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6.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6.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6.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6.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6.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6.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6.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6.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6.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6.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6.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6.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6.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6.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6.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6.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6.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6.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6.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6.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6.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6.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6.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6.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6.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6.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6.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6.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6.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6.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6.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6.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6.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6.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6.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6.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6.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6.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6.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6.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6.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6.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6.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6.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6.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6.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6.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6.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6.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6.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6.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6.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6.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6.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6.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6.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6.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6.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6.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6.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6.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6.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6.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6.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6.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6.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6.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6.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6.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6.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6.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6.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6.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6.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6.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6.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6.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6.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6.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6.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6.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6.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6.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6.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6.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6.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6.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6.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6.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6.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6.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6.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6.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6.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6.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6.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6.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6.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6.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6.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6.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6.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6.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6.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6.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6.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6.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6.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6.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6.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6.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6.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6.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6.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6.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6.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6.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6.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6.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6.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6.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6.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6.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6.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6.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6.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6.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6.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6.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6.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6.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6.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6.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6.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6.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6.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6.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6.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6.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6.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6.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6.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6.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6.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6.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6.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6.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6.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6.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6.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6.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6.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6.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6.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6.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6.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6.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6.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6.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6.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6.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6.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6.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6.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6.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6.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6.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6.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6.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6.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6.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6.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6.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6.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6.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6.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6.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6.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6.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6.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6.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6.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6.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6.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6.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6.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6.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6.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6.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6.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6.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6.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6.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6.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6.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6.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6.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6.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6.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6.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6.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6.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6.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6.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6.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6.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6.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6.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6.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6.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6.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6.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6.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6.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6.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6.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6.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6.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6.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6.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6.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6.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6.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6.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6.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6.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6.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6.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6.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6.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6.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6.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6.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6.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6.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6.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6.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6.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6.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6.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6.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6.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6.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6.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6.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6.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6.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6.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6.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6.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6.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6.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6.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6.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6.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6.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6.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6.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6.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6.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6.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6.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6.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6.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6.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6.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6.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6.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6.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6.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6.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6.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6.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6.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6.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6.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6.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6.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6.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6.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6.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6.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6.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6.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6.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6.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6.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6.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6.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6.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6.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6.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6.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6.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6.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6.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6.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6.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6.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6.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6.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6.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6.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6.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6.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6.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6.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6.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6.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6.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6.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6.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6.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6.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6.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6.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6.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6.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6.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6.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6.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6.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6.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6.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6.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6.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6.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6.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6.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6.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6.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6.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6.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6.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6.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6.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6.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6.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6.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6.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6.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6.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6.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6.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6.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6.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6.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6.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6.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6.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6.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6.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6.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6.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6.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6.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6.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6.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6.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6.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6.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6.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6.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6.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6.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6.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6.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6.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6.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6.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6.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6.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6.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6.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6.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6.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6.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6.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6.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6.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6.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6.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6.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6.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6.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6.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6.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6.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6.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6.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6.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6.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6.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6.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6.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6.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6.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6.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6.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6.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6.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6.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6.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6.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6.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6.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6.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6.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6.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6.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6.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6.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6.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6.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6.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6.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6.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6.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6.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6.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6.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6.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6.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6.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6.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6.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6.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6.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6.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6.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6.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6.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6.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6.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6.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6.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6.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6.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6.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6.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6.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6.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6.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6.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6.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6.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6.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6.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6.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6.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6.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6.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6.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6.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6.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6.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6.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6.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6.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6.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6.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6.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6.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6.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6.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6.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6.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6.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6.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6.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6.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6.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6.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6.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6.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6.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6.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6.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6.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6.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6.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6.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6.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6.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6.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6.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6.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6.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6.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6.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6.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6.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6.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6.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6.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6.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6.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6.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6.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6.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6.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6.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6.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6.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6.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6.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6.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6.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6.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6.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6.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6.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6.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6.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6.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6.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6.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6.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6.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6.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6.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6.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6.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6.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6.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6.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6.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6.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6.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6.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6.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6.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6.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6.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6.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6.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6.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6.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6.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6.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6.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6.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6.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6.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6.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6.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6.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6.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6.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6.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6.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6.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6.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6.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6.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6.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6.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6.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6.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6.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6.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6.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6.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6.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6.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6.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6.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6.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6.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6.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6.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6.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6.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6.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6.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6.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6.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6.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6.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6.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6.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6.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6.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6.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6.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6.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6.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6.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6.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6.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6.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6.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6.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6.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6.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6.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6.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6.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6.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6.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6.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6.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6.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6.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6.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6.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6.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6.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6.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6.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6.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6.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6.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6.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6.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6.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6.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6.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6.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6.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6.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6.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6.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6.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6.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6.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6.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6.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6.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6.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6.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6.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6.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6.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6.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6.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6.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6.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6.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6.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6.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6.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6.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6.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6.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6.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6.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6.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6.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6.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6.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6.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6.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6.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6.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6.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6.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6.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6.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6.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6.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6.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6.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6.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6.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6.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6.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6.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6.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6.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6.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6.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6.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6.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6.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6.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6.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6.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6.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6.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6.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6.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6.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6.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6.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6.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6.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6.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6.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6.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6.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6.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6.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6.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6.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6.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6.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6.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6.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6.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6.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6.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6.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6.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6.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6.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6.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6.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6.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6.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6.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6.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6.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6.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6.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6.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6.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6.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6.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6.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6.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6.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6.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6.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6.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6.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6.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6.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6.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6.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6.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6.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6.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6.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6.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6.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6.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6.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6.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6.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6.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6.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6.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6.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6.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6.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6.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6.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6.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6.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6.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6.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6.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6.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6.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6.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6.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6.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6.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6.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6.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6.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6.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6.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6.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6.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6.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6.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6.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6.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6.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6.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6.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6.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6.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6.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6.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6.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6.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6.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6.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6.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6.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6.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6.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6.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6.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6.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6.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6.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6.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6.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6.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6.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6.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6.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6.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6.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6.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6.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6.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6.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6.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6.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6.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6.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ht="16.5" customHeight="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ht="16.5" customHeight="1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 ht="16.5" customHeight="1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 ht="16.5" customHeight="1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 ht="16.5" customHeight="1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</sheetData>
  <mergeCells count="16">
    <mergeCell ref="A2:F2"/>
    <mergeCell ref="B4:C4"/>
    <mergeCell ref="E4:F4"/>
    <mergeCell ref="B5:C5"/>
    <mergeCell ref="E5:F5"/>
    <mergeCell ref="B6:F6"/>
    <mergeCell ref="A9:A13"/>
    <mergeCell ref="A46:A48"/>
    <mergeCell ref="A49:A53"/>
    <mergeCell ref="A14:A18"/>
    <mergeCell ref="A19:A23"/>
    <mergeCell ref="A24:A27"/>
    <mergeCell ref="A28:A31"/>
    <mergeCell ref="A32:A36"/>
    <mergeCell ref="A37:A40"/>
    <mergeCell ref="A41:A4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0.43"/>
    <col customWidth="1" min="3" max="3" width="23.43"/>
    <col customWidth="1" min="4" max="4" width="16.71"/>
    <col customWidth="1" min="5" max="5" width="13.0"/>
    <col customWidth="1" min="6" max="6" width="19.43"/>
    <col customWidth="1" min="7" max="7" width="10.43"/>
    <col customWidth="1" min="8" max="8" width="13.14"/>
    <col customWidth="1" min="9" max="9" width="12.71"/>
    <col customWidth="1" min="10" max="10" width="11.0"/>
    <col customWidth="1" min="11" max="11" width="35.0"/>
    <col customWidth="1" min="12" max="26" width="10.7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50" t="s">
        <v>201</v>
      </c>
      <c r="B2" s="50" t="s">
        <v>202</v>
      </c>
      <c r="C2" s="50" t="s">
        <v>203</v>
      </c>
      <c r="D2" s="51" t="s">
        <v>204</v>
      </c>
      <c r="E2" s="50" t="s">
        <v>205</v>
      </c>
      <c r="F2" s="50" t="s">
        <v>206</v>
      </c>
      <c r="G2" s="50" t="s">
        <v>207</v>
      </c>
      <c r="H2" s="50" t="s">
        <v>208</v>
      </c>
      <c r="I2" s="50" t="s">
        <v>209</v>
      </c>
      <c r="J2" s="50" t="s">
        <v>210</v>
      </c>
      <c r="K2" s="50" t="s">
        <v>211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52">
        <v>1.0</v>
      </c>
      <c r="B3" s="53" t="s">
        <v>22</v>
      </c>
      <c r="C3" s="54" t="s">
        <v>212</v>
      </c>
      <c r="D3" s="53" t="s">
        <v>213</v>
      </c>
      <c r="E3" s="53"/>
      <c r="F3" s="54" t="s">
        <v>214</v>
      </c>
      <c r="G3" s="53" t="s">
        <v>215</v>
      </c>
      <c r="H3" s="53" t="s">
        <v>216</v>
      </c>
      <c r="I3" s="53" t="s">
        <v>217</v>
      </c>
      <c r="J3" s="53"/>
      <c r="K3" s="54" t="s">
        <v>218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53">
        <v>2.0</v>
      </c>
      <c r="B4" s="53" t="s">
        <v>26</v>
      </c>
      <c r="C4" s="54" t="s">
        <v>219</v>
      </c>
      <c r="D4" s="53" t="s">
        <v>220</v>
      </c>
      <c r="E4" s="53"/>
      <c r="F4" s="54" t="s">
        <v>214</v>
      </c>
      <c r="G4" s="53" t="s">
        <v>215</v>
      </c>
      <c r="H4" s="53" t="s">
        <v>216</v>
      </c>
      <c r="I4" s="53" t="s">
        <v>217</v>
      </c>
      <c r="J4" s="53"/>
      <c r="K4" s="54" t="s">
        <v>221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53">
        <v>3.0</v>
      </c>
      <c r="B5" s="53" t="s">
        <v>30</v>
      </c>
      <c r="C5" s="54" t="s">
        <v>222</v>
      </c>
      <c r="D5" s="53" t="s">
        <v>223</v>
      </c>
      <c r="E5" s="53"/>
      <c r="F5" s="54" t="s">
        <v>214</v>
      </c>
      <c r="G5" s="53" t="s">
        <v>215</v>
      </c>
      <c r="H5" s="53" t="s">
        <v>216</v>
      </c>
      <c r="I5" s="53" t="s">
        <v>217</v>
      </c>
      <c r="J5" s="53"/>
      <c r="K5" s="54" t="s">
        <v>224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53">
        <v>4.0</v>
      </c>
      <c r="B6" s="53" t="s">
        <v>34</v>
      </c>
      <c r="C6" s="54" t="s">
        <v>225</v>
      </c>
      <c r="D6" s="53" t="s">
        <v>226</v>
      </c>
      <c r="E6" s="53"/>
      <c r="F6" s="54" t="s">
        <v>214</v>
      </c>
      <c r="G6" s="53" t="s">
        <v>215</v>
      </c>
      <c r="H6" s="53" t="s">
        <v>216</v>
      </c>
      <c r="I6" s="53" t="s">
        <v>217</v>
      </c>
      <c r="J6" s="53"/>
      <c r="K6" s="54" t="s">
        <v>227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rintOptions/>
  <pageMargins bottom="0.75" footer="0.0" header="0.0" left="0.7" right="0.7" top="0.75"/>
  <pageSetup orientation="landscape"/>
  <drawing r:id="rId1"/>
</worksheet>
</file>